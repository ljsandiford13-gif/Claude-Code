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Price Data" sheetId="2" state="visible" r:id="rId4"/>
    <sheet name="Summary" sheetId="3" state="visible" r:id="rId5"/>
    <sheet name="Category Analysis" sheetId="4" state="visible" r:id="rId6"/>
    <sheet name="Charts" sheetId="5" state="visible" r:id="rId7"/>
  </sheets>
  <definedNames>
    <definedName function="false" hidden="false" localSheetId="1" name="_xlnm.Print_Titles" vbProcedure="false">'Price Data'!$4:$4</definedName>
    <definedName function="false" hidden="true" localSheetId="1" name="_xlnm._FilterDatabase" vbProcedure="false">'Price Data'!$A$4:$T$46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<sst xmlns="http://schemas.openxmlformats.org/spreadsheetml/2006/main" count="393" uniqueCount="193">
  <si>
    <t xml:space="preserve">FOOD FIRST vs SUPERMARKET PRICE COMPARISON</t>
  </si>
  <si>
    <t xml:space="preserve">Standardised, like-for-like unit-price comparison of Food First against two Barbados supermarkets</t>
  </si>
  <si>
    <t xml:space="preserve">Purpose</t>
  </si>
  <si>
    <t xml:space="preserve">Establish whether Food First's fresh-produce and grocery prices are, on balance, higher or lower than two established Barbados supermarkets, overall and by category, using like-for-like standardised unit prices.</t>
  </si>
  <si>
    <t xml:space="preserve">Prepared for</t>
  </si>
  <si>
    <t xml:space="preserve">Heart &amp; Stroke Foundation of Barbados (HSFB), in support of its work on healthier lifestyles, good nutrition and childhood-obesity prevention.</t>
  </si>
  <si>
    <t xml:space="preserve">Store anonymity</t>
  </si>
  <si>
    <t xml:space="preserve">Per HSFB's undertaking to the retailers, the supermarkets visited are not named. They appear throughout as 'Supermarket A' and 'Supermarket B'. Food First is named because it is the subject of the comparison.</t>
  </si>
  <si>
    <t xml:space="preserve">Price basis</t>
  </si>
  <si>
    <t xml:space="preserve">Every comparison uses a standardised price on the same basis (BBD per kg, per litre, per unit, per head, per pack or per dozen). Standardised price = shelf price / pack quantity, and the pack quantity is shown beside every shelf price so each conversion can be checked.</t>
  </si>
  <si>
    <t xml:space="preserve">Price difference</t>
  </si>
  <si>
    <t xml:space="preserve">% difference = Food First price / comparator price - 1.  Negative = Food First is cheaper.  Positive = Food First is more expensive.  The same formula is used for Supermarket A vs Supermarket B.</t>
  </si>
  <si>
    <t xml:space="preserve">Included / excluded</t>
  </si>
  <si>
    <t xml:space="preserve">Column L on the Price Data tab marks each item Y (included) or N (excluded). Four items are excluded because Food First and the supermarkets price them on different bases (per punnet vs per kg, per kg vs per whole fruit, or unknown pack size). Excluded rows stay visible but drop out of every average, median, count, basket total and chart. Change the flag to Y once the source data is corrected and everything updates.</t>
  </si>
  <si>
    <t xml:space="preserve">Excluded items</t>
  </si>
  <si>
    <t xml:space="preserve">Baby Spinach (pack sizes unknown / differ), Blackberries (Food First price not credible as per kg), Red Currants (per punnet vs per kg), Pineapple (per kg vs per whole fruit). Reasons are in column T of Price Data.</t>
  </si>
  <si>
    <t xml:space="preserve">Assumptions</t>
  </si>
  <si>
    <t xml:space="preserve">Lemons and limes at Supermarket A are priced per kg; they are converted to per unit at an assumed 10 fruit per kg (blue input cells in column H). Strawberries: Food First 'unit' taken to be the same 1 lb pack the supermarkets sell. Pepper Mash: 26 oz = 0.7371 kg; 750 ml treated as 0.75 kg. Carrots: 1 lb = 0.4536 kg. Every assumption is also recorded in the note beside the item.</t>
  </si>
  <si>
    <t xml:space="preserve">Mean vs median</t>
  </si>
  <si>
    <t xml:space="preserve">Both are reported. A few large gaps (for example Mangoes at +124%) pull the mean, so the median is the better guide to the typical item.</t>
  </si>
  <si>
    <t xml:space="preserve">Cell colours</t>
  </si>
  <si>
    <t xml:space="preserve">Blue text = a recorded price, pack quantity or Y/N flag that may be edited.  Black text = formula, do not overwrite.  Grey rows = excluded from statistics.  Blue-shaded % = Food First cheaper; red-shaded % = Food First dearer.</t>
  </si>
  <si>
    <t xml:space="preserve">Tabs</t>
  </si>
  <si>
    <t xml:space="preserve">Price Data (source record and item-level results)  |  Summary (headline results)  |  Category Analysis (results by food group)  |  Charts.</t>
  </si>
  <si>
    <t xml:space="preserve">Data collection</t>
  </si>
  <si>
    <t xml:space="preserve">Prices were recorded by the HSFB intern during in-store visits over the holiday period as a single point-in-time snapshot. Promotions were not separated from list prices. Collection date should be recorded here: ____________</t>
  </si>
  <si>
    <t xml:space="preserve">Source record</t>
  </si>
  <si>
    <t xml:space="preserve">Rebuilt from 'Food_First_Comparison_Workbook_Completed_3.xlsx' (42 items). Every standardised price and % difference was independently recomputed in Python and matches this workbook's formulas.</t>
  </si>
  <si>
    <t xml:space="preserve">PRICE DATA AND ITEM-LEVEL RESULTS</t>
  </si>
  <si>
    <t xml:space="preserve">All prices in BBD. Standardised price = shelf price / pack quantity. % difference = Food First / comparator - 1 (negative = Food First cheaper). Rows flagged N are excluded from all statistics.</t>
  </si>
  <si>
    <t xml:space="preserve">Item</t>
  </si>
  <si>
    <t xml:space="preserve">Food First</t>
  </si>
  <si>
    <t xml:space="preserve">Supermarket A</t>
  </si>
  <si>
    <t xml:space="preserve">Supermarket B</t>
  </si>
  <si>
    <t xml:space="preserve">Flag</t>
  </si>
  <si>
    <t xml:space="preserve">% difference (standardised price)</t>
  </si>
  <si>
    <t xml:space="preserve">Result</t>
  </si>
  <si>
    <t xml:space="preserve">Standardised price (BBD)</t>
  </si>
  <si>
    <t xml:space="preserve">Notes</t>
  </si>
  <si>
    <t xml:space="preserve">#</t>
  </si>
  <si>
    <t xml:space="preserve">Category</t>
  </si>
  <si>
    <t xml:space="preserve">Basis</t>
  </si>
  <si>
    <t xml:space="preserve">Price (BBD)</t>
  </si>
  <si>
    <t xml:space="preserve">Shelf price (BBD)</t>
  </si>
  <si>
    <t xml:space="preserve">Pack / unit sold</t>
  </si>
  <si>
    <t xml:space="preserve">Pack qty (basis units)</t>
  </si>
  <si>
    <t xml:space="preserve">Include? (Y/N)</t>
  </si>
  <si>
    <t xml:space="preserve">Food First vs Supermarket A</t>
  </si>
  <si>
    <t xml:space="preserve">Food First vs Supermarket B</t>
  </si>
  <si>
    <t xml:space="preserve">Supermarket A vs Supermarket B</t>
  </si>
  <si>
    <t xml:space="preserve">Cheapest store</t>
  </si>
  <si>
    <t xml:space="preserve">Note / assumption</t>
  </si>
  <si>
    <t xml:space="preserve">Vegetables</t>
  </si>
  <si>
    <t xml:space="preserve">Broccoli</t>
  </si>
  <si>
    <t xml:space="preserve">per kg</t>
  </si>
  <si>
    <t xml:space="preserve">Y</t>
  </si>
  <si>
    <t xml:space="preserve">Cauliflower</t>
  </si>
  <si>
    <t xml:space="preserve">Romaine Lettuce</t>
  </si>
  <si>
    <t xml:space="preserve">per head</t>
  </si>
  <si>
    <t xml:space="preserve">1 head (approx. 0.3 kg)</t>
  </si>
  <si>
    <t xml:space="preserve">1 head (approx. 0.2 kg)</t>
  </si>
  <si>
    <t xml:space="preserve">Compared per head. Supermarket heads differ in recorded weight (0.3 kg vs 0.2 kg); Food First head weight not recorded.</t>
  </si>
  <si>
    <t xml:space="preserve">Iceberg Lettuce</t>
  </si>
  <si>
    <t xml:space="preserve">1 head</t>
  </si>
  <si>
    <t xml:space="preserve">Local Cabbage</t>
  </si>
  <si>
    <t xml:space="preserve">Pumpkin</t>
  </si>
  <si>
    <t xml:space="preserve">Red Cabbage</t>
  </si>
  <si>
    <t xml:space="preserve">Red Onions</t>
  </si>
  <si>
    <t xml:space="preserve">English Potatoes (Medium)</t>
  </si>
  <si>
    <t xml:space="preserve">Cucumbers</t>
  </si>
  <si>
    <t xml:space="preserve">Zucchini</t>
  </si>
  <si>
    <t xml:space="preserve">Carrots</t>
  </si>
  <si>
    <t xml:space="preserve">1 lb pack (0.4536 kg)</t>
  </si>
  <si>
    <t xml:space="preserve">Supermarket B sold by the pound; converted at 1 lb = 0.4536 kg.</t>
  </si>
  <si>
    <t xml:space="preserve">Baby Spinach</t>
  </si>
  <si>
    <t xml:space="preserve">per pack</t>
  </si>
  <si>
    <t xml:space="preserve">142 g pack</t>
  </si>
  <si>
    <t xml:space="preserve">283 g pack</t>
  </si>
  <si>
    <t xml:space="preserve">N</t>
  </si>
  <si>
    <t xml:space="preserve">EXCLUDED: Food First pack size not recorded and supermarket packs differ (142 g vs 283 g), so no like-for-like basis exists.</t>
  </si>
  <si>
    <t xml:space="preserve">Fruits</t>
  </si>
  <si>
    <t xml:space="preserve">Tomatoes</t>
  </si>
  <si>
    <t xml:space="preserve">Red Apples</t>
  </si>
  <si>
    <t xml:space="preserve">per unit</t>
  </si>
  <si>
    <t xml:space="preserve">each</t>
  </si>
  <si>
    <t xml:space="preserve">Green Apples</t>
  </si>
  <si>
    <t xml:space="preserve">Oranges</t>
  </si>
  <si>
    <t xml:space="preserve">Red Seedless Grapes</t>
  </si>
  <si>
    <t xml:space="preserve">Green Seedless Grapes</t>
  </si>
  <si>
    <t xml:space="preserve">Strawberries</t>
  </si>
  <si>
    <t xml:space="preserve">per 1 lb pack</t>
  </si>
  <si>
    <t xml:space="preserve">1 lb pack</t>
  </si>
  <si>
    <t xml:space="preserve">Food First 'unit' assumed to be the same 1 lb pack sold by both supermarkets.</t>
  </si>
  <si>
    <t xml:space="preserve">Blackberries</t>
  </si>
  <si>
    <t xml:space="preserve">170 g pack</t>
  </si>
  <si>
    <t xml:space="preserve">EXCLUDED: Food First 16.65/kg is not credible against 64.65 and 70.53/kg at the supermarkets; most likely a per-punnet price recorded as per kg. Re-check at source before use.</t>
  </si>
  <si>
    <t xml:space="preserve">Blueberries</t>
  </si>
  <si>
    <t xml:space="preserve">12 oz pack (0.3402 kg)</t>
  </si>
  <si>
    <t xml:space="preserve">Both supermarket packs converted to per kg.</t>
  </si>
  <si>
    <t xml:space="preserve">Red Currants</t>
  </si>
  <si>
    <t xml:space="preserve">per punnet</t>
  </si>
  <si>
    <t xml:space="preserve">EXCLUDED: Food First priced per punnet (weight not recorded); supermarkets priced per kg.</t>
  </si>
  <si>
    <t xml:space="preserve">Dragonfruit</t>
  </si>
  <si>
    <t xml:space="preserve">Pears</t>
  </si>
  <si>
    <t xml:space="preserve">Kiwis</t>
  </si>
  <si>
    <t xml:space="preserve">Lemons</t>
  </si>
  <si>
    <t xml:space="preserve">per kg (approx. 10 lemons)</t>
  </si>
  <si>
    <t xml:space="preserve">Supermarket A priced per kg; converted to per lemon at an assumed 10 lemons per kg.</t>
  </si>
  <si>
    <t xml:space="preserve">Limes</t>
  </si>
  <si>
    <t xml:space="preserve">per kg (approx. 10 limes)</t>
  </si>
  <si>
    <t xml:space="preserve">Supermarket A priced per kg; converted at an assumed 10 limes per kg. Supermarket B recorded shelf price of 0.79 per lime used; the earlier 0.74 figure had no documented basis.</t>
  </si>
  <si>
    <t xml:space="preserve">Jalapeno Peppers</t>
  </si>
  <si>
    <t xml:space="preserve">340 g pack</t>
  </si>
  <si>
    <t xml:space="preserve">Supermarket B 340 g pack converted to per kg.</t>
  </si>
  <si>
    <t xml:space="preserve">Sweet Pepper</t>
  </si>
  <si>
    <t xml:space="preserve">Grapefruit</t>
  </si>
  <si>
    <t xml:space="preserve">Pineapple</t>
  </si>
  <si>
    <t xml:space="preserve">per whole fruit</t>
  </si>
  <si>
    <t xml:space="preserve">EXCLUDED: Food First priced per kg; supermarkets priced per whole pineapple with no weight recorded.</t>
  </si>
  <si>
    <t xml:space="preserve">Gala Apple</t>
  </si>
  <si>
    <t xml:space="preserve">Mangoes</t>
  </si>
  <si>
    <t xml:space="preserve">Watermelon</t>
  </si>
  <si>
    <t xml:space="preserve">Grocery</t>
  </si>
  <si>
    <t xml:space="preserve">Cooking Cream</t>
  </si>
  <si>
    <t xml:space="preserve">per litre</t>
  </si>
  <si>
    <t xml:space="preserve">1 L</t>
  </si>
  <si>
    <t xml:space="preserve">Whipping Cream</t>
  </si>
  <si>
    <t xml:space="preserve">Oat Milk</t>
  </si>
  <si>
    <t xml:space="preserve">Whole Milk</t>
  </si>
  <si>
    <t xml:space="preserve">Eggs</t>
  </si>
  <si>
    <t xml:space="preserve">per dozen</t>
  </si>
  <si>
    <t xml:space="preserve">dozen</t>
  </si>
  <si>
    <t xml:space="preserve">Pepper Mash</t>
  </si>
  <si>
    <t xml:space="preserve">26 oz jar (0.7371 kg)</t>
  </si>
  <si>
    <t xml:space="preserve">750 ml bottle (0.75 kg)</t>
  </si>
  <si>
    <t xml:space="preserve">Supermarket A 26 oz jar converted at 0.7371 kg. Supermarket B 750 ml treated as 0.75 kg (sauce density taken as 1); its 2 L size gives the same 12.60/kg.</t>
  </si>
  <si>
    <t xml:space="preserve">Local Onions</t>
  </si>
  <si>
    <t xml:space="preserve">Matched-basket total (included items only)</t>
  </si>
  <si>
    <t xml:space="preserve">Items included</t>
  </si>
  <si>
    <t xml:space="preserve">Sum of standardised prices for the included items: an indicative basket, not a real shopping list.</t>
  </si>
  <si>
    <t xml:space="preserve">Legend</t>
  </si>
  <si>
    <t xml:space="preserve">Blue text = recorded input (editable).  Black = formula.  Grey row = excluded (flag N).  Blue-shaded % = Food First cheaper; red-shaded % = Food First dearer.</t>
  </si>
  <si>
    <t xml:space="preserve">Cheapest store: lowest standardised price of the three; ties go to Food First, then Supermarket A.</t>
  </si>
  <si>
    <t xml:space="preserve">OVERALL COMPARISON SUMMARY</t>
  </si>
  <si>
    <t xml:space="preserve">All figures calculated from the Price Data tab, included items only (flag = Y). Negative % = Food First cheaper.</t>
  </si>
  <si>
    <t xml:space="preserve">Items compared</t>
  </si>
  <si>
    <t xml:space="preserve">Food First cheapest of the three</t>
  </si>
  <si>
    <t xml:space="preserve">Median saving vs Supermarket A</t>
  </si>
  <si>
    <t xml:space="preserve">Median saving vs Supermarket B</t>
  </si>
  <si>
    <t xml:space="preserve">Metric</t>
  </si>
  <si>
    <t xml:space="preserve">vs Supermarket A</t>
  </si>
  <si>
    <t xml:space="preserve">vs Supermarket B</t>
  </si>
  <si>
    <t xml:space="preserve">Items compared (like-for-like)</t>
  </si>
  <si>
    <t xml:space="preserve">Food First cheaper (items)</t>
  </si>
  <si>
    <t xml:space="preserve">Same price (items)</t>
  </si>
  <si>
    <t xml:space="preserve">Food First more expensive (items)</t>
  </si>
  <si>
    <t xml:space="preserve">Share of items where Food First is cheaper</t>
  </si>
  <si>
    <t xml:space="preserve">Mean % difference</t>
  </si>
  <si>
    <t xml:space="preserve">Median % difference</t>
  </si>
  <si>
    <t xml:space="preserve">Largest saving for Food First (min %)</t>
  </si>
  <si>
    <t xml:space="preserve">Largest premium for Food First (max %)</t>
  </si>
  <si>
    <t xml:space="preserve">In the third column, negative = Supermarket A cheaper than Supermarket B.</t>
  </si>
  <si>
    <t xml:space="preserve">Cheapest of the three stores</t>
  </si>
  <si>
    <t xml:space="preserve">Items</t>
  </si>
  <si>
    <t xml:space="preserve">Share of items</t>
  </si>
  <si>
    <t xml:space="preserve">Matched basket (sum of standardised prices, included items)</t>
  </si>
  <si>
    <t xml:space="preserve">BBD</t>
  </si>
  <si>
    <t xml:space="preserve">vs Food First</t>
  </si>
  <si>
    <t xml:space="preserve">Basket difference = Food First total / supermarket total - 1. Indicative only: an equal-weighted sum of unit prices, not a real weekly shop.</t>
  </si>
  <si>
    <t xml:space="preserve">How to read this sheet</t>
  </si>
  <si>
    <t xml:space="preserve">Mean and median are simple statistics of the item-level % differences; each item counts equally regardless of how much of it a household buys.</t>
  </si>
  <si>
    <t xml:space="preserve">The median is the better guide to a typical item because a few large gaps (e.g. Mangoes +124%) pull the mean.</t>
  </si>
  <si>
    <t xml:space="preserve">Excluded items (flag N on Price Data) are not in any figure here. Change a flag to Y and every number on this sheet updates.</t>
  </si>
  <si>
    <t xml:space="preserve">RESULTS BY FOOD CATEGORY</t>
  </si>
  <si>
    <t xml:space="preserve">Included items only. Negative % = Food First cheaper. Category labels follow the source record (tomatoes, peppers and jalapenos are listed under Fruits; local onions under Grocery).</t>
  </si>
  <si>
    <t xml:space="preserve">Items listed</t>
  </si>
  <si>
    <t xml:space="preserve">Mean: FF vs Supermarket A</t>
  </si>
  <si>
    <t xml:space="preserve">Median: FF vs Supermarket A</t>
  </si>
  <si>
    <t xml:space="preserve">Mean: FF vs Supermarket B</t>
  </si>
  <si>
    <t xml:space="preserve">Median: FF vs Supermarket B</t>
  </si>
  <si>
    <t xml:space="preserve">Mean: Supermarket A vs Supermarket B</t>
  </si>
  <si>
    <t xml:space="preserve">FF cheaper vs Supermarket A (items)</t>
  </si>
  <si>
    <t xml:space="preserve">FF cheaper vs Supermarket B (items)</t>
  </si>
  <si>
    <t xml:space="preserve">FF cheaper than both (items)</t>
  </si>
  <si>
    <t xml:space="preserve">FF cheapest of three (items)</t>
  </si>
  <si>
    <t xml:space="preserve">All categories</t>
  </si>
  <si>
    <t xml:space="preserve">Seasonings / herbs: no items could be compared because no supermarket prices were recorded for that category. It is therefore not shown.</t>
  </si>
  <si>
    <t xml:space="preserve">Medians by category use an array formula (MEDIAN(IF(...))). 'Mean: Supermarket A vs Supermarket B' negative = Supermarket A cheaper.</t>
  </si>
  <si>
    <t xml:space="preserve">Chart data (item level, included items only; feeds the Charts tab)</t>
  </si>
  <si>
    <t xml:space="preserve">FF vs Supermarket A</t>
  </si>
  <si>
    <t xml:space="preserve">FF vs Supermarket B</t>
  </si>
  <si>
    <t xml:space="preserve">CHARTS</t>
  </si>
  <si>
    <t xml:space="preserve">Bars below zero = Food First cheaper; above zero = Food First more expensive. Charts read live from the Price Data and Category Analysis tabs.</t>
  </si>
</sst>
</file>

<file path=xl/styles.xml><?xml version="1.0" encoding="utf-8"?>
<styleSheet xmlns="http://schemas.openxmlformats.org/spreadsheetml/2006/main">
  <numFmts count="8">
    <numFmt numFmtId="164" formatCode="General"/>
    <numFmt numFmtId="165" formatCode="#,##0.00"/>
    <numFmt numFmtId="166" formatCode="0.####"/>
    <numFmt numFmtId="167" formatCode="0.0%;\-0.0%;0.0%"/>
    <numFmt numFmtId="168" formatCode="General"/>
    <numFmt numFmtId="169" formatCode="0"/>
    <numFmt numFmtId="170" formatCode="@"/>
    <numFmt numFmtId="171" formatCode="0%"/>
  </numFmts>
  <fonts count="15">
    <font>
      <sz val="11"/>
      <color theme="1"/>
      <name val="Calibri"/>
      <family val="2"/>
      <charset val="1"/>
    </font>
    <font>
      <sz val="10"/>
      <name val="Arial"/>
      <family val="0"/>
    </font>
    <font>
      <sz val="10"/>
      <name val="Arial"/>
      <family val="0"/>
    </font>
    <font>
      <sz val="10"/>
      <name val="Arial"/>
      <family val="0"/>
    </font>
    <font>
      <b val="true"/>
      <sz val="16"/>
      <color rgb="FF184F95"/>
      <name val="Arial"/>
      <family val="0"/>
      <charset val="1"/>
    </font>
    <font>
      <i val="true"/>
      <sz val="9"/>
      <color rgb="FF595959"/>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20"/>
      <color rgb="FF184F95"/>
      <name val="Arial"/>
      <family val="0"/>
      <charset val="1"/>
    </font>
    <font>
      <b val="true"/>
      <sz val="11"/>
      <color rgb="FF184F95"/>
      <name val="Arial"/>
      <family val="0"/>
      <charset val="1"/>
    </font>
    <font>
      <b val="true"/>
      <sz val="18"/>
      <color rgb="FF000000"/>
      <name val="Calibri"/>
      <family val="2"/>
    </font>
    <font>
      <sz val="10"/>
      <color rgb="FF000000"/>
      <name val="Calibri"/>
      <family val="2"/>
    </font>
    <font>
      <b val="true"/>
      <sz val="10"/>
      <color rgb="FF000000"/>
      <name val="Calibri"/>
      <family val="2"/>
    </font>
  </fonts>
  <fills count="10">
    <fill>
      <patternFill patternType="none"/>
    </fill>
    <fill>
      <patternFill patternType="gray125"/>
    </fill>
    <fill>
      <patternFill patternType="solid">
        <fgColor rgb="FFF2F2F2"/>
        <bgColor rgb="FFEDEDED"/>
      </patternFill>
    </fill>
    <fill>
      <patternFill patternType="solid">
        <fgColor rgb="FF3A3A3A"/>
        <bgColor rgb="FF333300"/>
      </patternFill>
    </fill>
    <fill>
      <patternFill patternType="solid">
        <fgColor rgb="FF2A78D6"/>
        <bgColor rgb="FF0066CC"/>
      </patternFill>
    </fill>
    <fill>
      <patternFill patternType="solid">
        <fgColor rgb="FFEB6834"/>
        <bgColor rgb="FFFF8080"/>
      </patternFill>
    </fill>
    <fill>
      <patternFill patternType="solid">
        <fgColor rgb="FF1BAF7A"/>
        <bgColor rgb="FF33CCCC"/>
      </patternFill>
    </fill>
    <fill>
      <patternFill patternType="solid">
        <fgColor rgb="FF184F95"/>
        <bgColor rgb="FF0066CC"/>
      </patternFill>
    </fill>
    <fill>
      <patternFill patternType="solid">
        <fgColor rgb="FFEDEDED"/>
        <bgColor rgb="FFF2F2F2"/>
      </patternFill>
    </fill>
    <fill>
      <patternFill patternType="solid">
        <fgColor rgb="FFFFF7CC"/>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7"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5" fontId="9" fillId="8" borderId="1" xfId="0" applyFont="true" applyBorder="true" applyAlignment="false" applyProtection="false">
      <alignment horizontal="general" vertical="bottom" textRotation="0" wrapText="false" indent="0" shrinkToFit="false"/>
      <protection locked="true" hidden="false"/>
    </xf>
    <xf numFmtId="166" fontId="9" fillId="8"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7" fontId="7" fillId="8" borderId="1" xfId="0" applyFont="true" applyBorder="true" applyAlignment="true" applyProtection="false">
      <alignment horizontal="right" vertical="center" textRotation="0" wrapText="false" indent="0" shrinkToFit="false"/>
      <protection locked="true" hidden="false"/>
    </xf>
    <xf numFmtId="165" fontId="7" fillId="8"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center" vertical="center" textRotation="0" wrapText="true" indent="0" shrinkToFit="false"/>
      <protection locked="true" hidden="false"/>
    </xf>
    <xf numFmtId="165" fontId="6" fillId="9"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9" fontId="10" fillId="2" borderId="0" xfId="0" applyFont="true" applyBorder="false" applyAlignment="true" applyProtection="false">
      <alignment horizontal="center" vertical="center" textRotation="0" wrapText="true" indent="0" shrinkToFit="false"/>
      <protection locked="true" hidden="false"/>
    </xf>
    <xf numFmtId="170" fontId="10" fillId="2" borderId="0" xfId="0" applyFont="true" applyBorder="false" applyAlignment="true" applyProtection="false">
      <alignment horizontal="center" vertical="center" textRotation="0" wrapText="true" indent="0" shrinkToFit="false"/>
      <protection locked="true" hidden="false"/>
    </xf>
    <xf numFmtId="167" fontId="10" fillId="2" borderId="0" xfId="0" applyFont="true" applyBorder="fals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9" fontId="6" fillId="2" borderId="1" xfId="0" applyFont="true" applyBorder="true" applyAlignment="true" applyProtection="false">
      <alignment horizontal="right" vertical="center" textRotation="0" wrapText="false" indent="0" shrinkToFit="false"/>
      <protection locked="true" hidden="false"/>
    </xf>
    <xf numFmtId="167" fontId="6" fillId="2"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84F95"/>
          <bgColor rgb="FF000000"/>
        </patternFill>
      </fill>
    </dxf>
    <dxf>
      <fill>
        <patternFill patternType="solid">
          <fgColor rgb="FFEDEDE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E3EEFB"/>
          <bgColor rgb="FF000000"/>
        </patternFill>
      </fill>
    </dxf>
    <dxf>
      <fill>
        <patternFill patternType="solid">
          <fgColor rgb="FFFBE3E3"/>
          <bgColor rgb="FF000000"/>
        </patternFill>
      </fill>
    </dxf>
    <dxf>
      <fill>
        <patternFill patternType="solid">
          <fgColor rgb="FF595959"/>
          <bgColor rgb="FF000000"/>
        </patternFill>
      </fill>
    </dxf>
    <dxf>
      <fill>
        <patternFill>
          <bgColor rgb="FFE3EEFB"/>
        </patternFill>
      </fill>
    </dxf>
    <dxf>
      <fill>
        <patternFill>
          <bgColor rgb="FFFBE3E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993366"/>
      <rgbColor rgb="FFFFF7CC"/>
      <rgbColor rgb="FFE3EE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DEDED"/>
      <rgbColor rgb="FFFFFF99"/>
      <rgbColor rgb="FF99CCFF"/>
      <rgbColor rgb="FFFF99CC"/>
      <rgbColor rgb="FFCC99FF"/>
      <rgbColor rgb="FFFBE3E3"/>
      <rgbColor rgb="FF2A78D6"/>
      <rgbColor rgb="FF33CCCC"/>
      <rgbColor rgb="FF99CC00"/>
      <rgbColor rgb="FFFFCC00"/>
      <rgbColor rgb="FFFF9900"/>
      <rgbColor rgb="FFEB6834"/>
      <rgbColor rgb="FF595959"/>
      <rgbColor rgb="FF969696"/>
      <rgbColor rgb="FF003366"/>
      <rgbColor rgb="FF1BAF7A"/>
      <rgbColor rgb="FF003300"/>
      <rgbColor rgb="FF333300"/>
      <rgbColor rgb="FF993300"/>
      <rgbColor rgb="FF993366"/>
      <rgbColor rgb="FF184F95"/>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Mean price difference by category (Food First vs each supermarket)</a:t>
            </a:r>
          </a:p>
        </c:rich>
      </c:tx>
      <c:overlay val="0"/>
      <c:spPr>
        <a:noFill/>
        <a:ln w="0">
          <a:noFill/>
        </a:ln>
      </c:spPr>
    </c:title>
    <c:autoTitleDeleted val="0"/>
    <c:plotArea>
      <c:barChart>
        <c:barDir val="col"/>
        <c:grouping val="clustered"/>
        <c:varyColors val="0"/>
        <c:ser>
          <c:idx val="0"/>
          <c:order val="0"/>
          <c:tx>
            <c:strRef>
              <c:f>'Category Analysis'!D4</c:f>
              <c:strCache>
                <c:ptCount val="1"/>
                <c:pt idx="0">
                  <c:v>Mean: FF vs Supermarket A</c:v>
                </c:pt>
              </c:strCache>
            </c:strRef>
          </c:tx>
          <c:spPr>
            <a:solidFill>
              <a:srgbClr val="eb6834"/>
            </a:solidFill>
            <a:ln w="9360">
              <a:solidFill>
                <a:srgbClr val="eb6834"/>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'Category Analysis'!$A$5:$A$8</c:f>
              <c:strCache>
                <c:ptCount val="4"/>
                <c:pt idx="0">
                  <c:v>Vegetables</c:v>
                </c:pt>
                <c:pt idx="1">
                  <c:v>Fruits</c:v>
                </c:pt>
                <c:pt idx="2">
                  <c:v>Grocery</c:v>
                </c:pt>
                <c:pt idx="3">
                  <c:v>All categories</c:v>
                </c:pt>
              </c:strCache>
            </c:strRef>
          </c:cat>
          <c:val>
            <c:numRef>
              <c:f>'Category Analysis'!$D$5:$D$8</c:f>
              <c:numCache>
                <c:formatCode>0.0%;\-0.0%;0.0%</c:formatCode>
                <c:ptCount val="4"/>
                <c:pt idx="0">
                  <c:v>-0.284434847967552</c:v>
                </c:pt>
                <c:pt idx="1">
                  <c:v>-0.0601798832499691</c:v>
                </c:pt>
                <c:pt idx="2">
                  <c:v>-0.226263663502547</c:v>
                </c:pt>
                <c:pt idx="3">
                  <c:v>-0.161591621102049</c:v>
                </c:pt>
              </c:numCache>
            </c:numRef>
          </c:val>
        </c:ser>
        <c:ser>
          <c:idx val="1"/>
          <c:order val="1"/>
          <c:tx>
            <c:strRef>
              <c:f>'Category Analysis'!F4</c:f>
              <c:strCache>
                <c:ptCount val="1"/>
                <c:pt idx="0">
                  <c:v>Mean: FF vs Supermarket B</c:v>
                </c:pt>
              </c:strCache>
            </c:strRef>
          </c:tx>
          <c:spPr>
            <a:solidFill>
              <a:srgbClr val="1baf7a"/>
            </a:solidFill>
            <a:ln w="9360">
              <a:solidFill>
                <a:srgbClr val="1baf7a"/>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'Category Analysis'!$A$5:$A$8</c:f>
              <c:strCache>
                <c:ptCount val="4"/>
                <c:pt idx="0">
                  <c:v>Vegetables</c:v>
                </c:pt>
                <c:pt idx="1">
                  <c:v>Fruits</c:v>
                </c:pt>
                <c:pt idx="2">
                  <c:v>Grocery</c:v>
                </c:pt>
                <c:pt idx="3">
                  <c:v>All categories</c:v>
                </c:pt>
              </c:strCache>
            </c:strRef>
          </c:cat>
          <c:val>
            <c:numRef>
              <c:f>'Category Analysis'!$F$5:$F$8</c:f>
              <c:numCache>
                <c:formatCode>0.0%;\-0.0%;0.0%</c:formatCode>
                <c:ptCount val="4"/>
                <c:pt idx="0">
                  <c:v>-0.318327983387127</c:v>
                </c:pt>
                <c:pt idx="1">
                  <c:v>-0.0653838187173799</c:v>
                </c:pt>
                <c:pt idx="2">
                  <c:v>-0.284992731423497</c:v>
                </c:pt>
                <c:pt idx="3">
                  <c:v>-0.185715196743164</c:v>
                </c:pt>
              </c:numCache>
            </c:numRef>
          </c:val>
        </c:ser>
        <c:gapWidth val="60"/>
        <c:overlap val="-10"/>
        <c:axId val="89863809"/>
        <c:axId val="91970720"/>
      </c:barChart>
      <c:catAx>
        <c:axId val="898638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970720"/>
        <c:crosses val="autoZero"/>
        <c:auto val="1"/>
        <c:lblAlgn val="ctr"/>
        <c:lblOffset val="100"/>
        <c:noMultiLvlLbl val="0"/>
      </c:catAx>
      <c:valAx>
        <c:axId val="919707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difference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86380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Median price difference by category (Food First vs each supermarket)</a:t>
            </a:r>
          </a:p>
        </c:rich>
      </c:tx>
      <c:overlay val="0"/>
      <c:spPr>
        <a:noFill/>
        <a:ln w="0">
          <a:noFill/>
        </a:ln>
      </c:spPr>
    </c:title>
    <c:autoTitleDeleted val="0"/>
    <c:plotArea>
      <c:barChart>
        <c:barDir val="col"/>
        <c:grouping val="clustered"/>
        <c:varyColors val="0"/>
        <c:ser>
          <c:idx val="0"/>
          <c:order val="0"/>
          <c:tx>
            <c:strRef>
              <c:f>'Category Analysis'!E4</c:f>
              <c:strCache>
                <c:ptCount val="1"/>
                <c:pt idx="0">
                  <c:v>Median: FF vs Supermarket A</c:v>
                </c:pt>
              </c:strCache>
            </c:strRef>
          </c:tx>
          <c:spPr>
            <a:solidFill>
              <a:srgbClr val="eb6834"/>
            </a:solidFill>
            <a:ln w="9360">
              <a:solidFill>
                <a:srgbClr val="eb6834"/>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'Category Analysis'!$A$5:$A$8</c:f>
              <c:strCache>
                <c:ptCount val="4"/>
                <c:pt idx="0">
                  <c:v>Vegetables</c:v>
                </c:pt>
                <c:pt idx="1">
                  <c:v>Fruits</c:v>
                </c:pt>
                <c:pt idx="2">
                  <c:v>Grocery</c:v>
                </c:pt>
                <c:pt idx="3">
                  <c:v>All categories</c:v>
                </c:pt>
              </c:strCache>
            </c:strRef>
          </c:cat>
          <c:val>
            <c:numRef>
              <c:f>'Category Analysis'!$E$5:$E$8</c:f>
              <c:numCache>
                <c:formatCode>0.0%;\-0.0%;0.0%</c:formatCode>
                <c:ptCount val="4"/>
                <c:pt idx="0">
                  <c:v>-0.403017977016725</c:v>
                </c:pt>
                <c:pt idx="1">
                  <c:v>-0.0702479338842975</c:v>
                </c:pt>
                <c:pt idx="2">
                  <c:v>-0.411071849234393</c:v>
                </c:pt>
                <c:pt idx="3">
                  <c:v>-0.202732319183042</c:v>
                </c:pt>
              </c:numCache>
            </c:numRef>
          </c:val>
        </c:ser>
        <c:ser>
          <c:idx val="1"/>
          <c:order val="1"/>
          <c:tx>
            <c:strRef>
              <c:f>'Category Analysis'!G4</c:f>
              <c:strCache>
                <c:ptCount val="1"/>
                <c:pt idx="0">
                  <c:v>Median: FF vs Supermarket B</c:v>
                </c:pt>
              </c:strCache>
            </c:strRef>
          </c:tx>
          <c:spPr>
            <a:solidFill>
              <a:srgbClr val="1baf7a"/>
            </a:solidFill>
            <a:ln w="9360">
              <a:solidFill>
                <a:srgbClr val="1baf7a"/>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'Category Analysis'!$A$5:$A$8</c:f>
              <c:strCache>
                <c:ptCount val="4"/>
                <c:pt idx="0">
                  <c:v>Vegetables</c:v>
                </c:pt>
                <c:pt idx="1">
                  <c:v>Fruits</c:v>
                </c:pt>
                <c:pt idx="2">
                  <c:v>Grocery</c:v>
                </c:pt>
                <c:pt idx="3">
                  <c:v>All categories</c:v>
                </c:pt>
              </c:strCache>
            </c:strRef>
          </c:cat>
          <c:val>
            <c:numRef>
              <c:f>'Category Analysis'!$G$5:$G$8</c:f>
              <c:numCache>
                <c:formatCode>0.0%;\-0.0%;0.0%</c:formatCode>
                <c:ptCount val="4"/>
                <c:pt idx="0">
                  <c:v>-0.361268897599286</c:v>
                </c:pt>
                <c:pt idx="1">
                  <c:v>-0.149338374291115</c:v>
                </c:pt>
                <c:pt idx="2">
                  <c:v>-0.431171786120592</c:v>
                </c:pt>
                <c:pt idx="3">
                  <c:v>-0.227184418267221</c:v>
                </c:pt>
              </c:numCache>
            </c:numRef>
          </c:val>
        </c:ser>
        <c:gapWidth val="60"/>
        <c:overlap val="-10"/>
        <c:axId val="61313255"/>
        <c:axId val="60321460"/>
      </c:barChart>
      <c:catAx>
        <c:axId val="613132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321460"/>
        <c:crosses val="autoZero"/>
        <c:auto val="1"/>
        <c:lblAlgn val="ctr"/>
        <c:lblOffset val="100"/>
        <c:noMultiLvlLbl val="0"/>
      </c:catAx>
      <c:valAx>
        <c:axId val="6032146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difference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31325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Number of items where each store is cheapest</a:t>
            </a:r>
          </a:p>
        </c:rich>
      </c:tx>
      <c:overlay val="0"/>
      <c:spPr>
        <a:noFill/>
        <a:ln w="0">
          <a:noFill/>
        </a:ln>
      </c:spPr>
    </c:title>
    <c:autoTitleDeleted val="0"/>
    <c:plotArea>
      <c:barChart>
        <c:barDir val="col"/>
        <c:grouping val="clustered"/>
        <c:varyColors val="0"/>
        <c:ser>
          <c:idx val="0"/>
          <c:order val="0"/>
          <c:tx>
            <c:strRef>
              <c:f>"Items"</c:f>
              <c:strCache>
                <c:ptCount val="1"/>
                <c:pt idx="0">
                  <c:v>Items</c:v>
                </c:pt>
              </c:strCache>
            </c:strRef>
          </c:tx>
          <c:spPr>
            <a:solidFill>
              <a:srgbClr val="2a78d6"/>
            </a:solidFill>
            <a:ln w="9360">
              <a:solidFill>
                <a:srgbClr val="2a78d6"/>
              </a:solidFill>
              <a:round/>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Summary!$A$21:$A$23</c:f>
              <c:strCache>
                <c:ptCount val="3"/>
                <c:pt idx="0">
                  <c:v>Food First</c:v>
                </c:pt>
                <c:pt idx="1">
                  <c:v>Supermarket A</c:v>
                </c:pt>
                <c:pt idx="2">
                  <c:v>Supermarket B</c:v>
                </c:pt>
              </c:strCache>
            </c:strRef>
          </c:cat>
          <c:val>
            <c:numRef>
              <c:f>Summary!$B$21:$B$23</c:f>
              <c:numCache>
                <c:formatCode>0</c:formatCode>
                <c:ptCount val="3"/>
                <c:pt idx="0">
                  <c:v>28</c:v>
                </c:pt>
                <c:pt idx="1">
                  <c:v>6</c:v>
                </c:pt>
                <c:pt idx="2">
                  <c:v>4</c:v>
                </c:pt>
              </c:numCache>
            </c:numRef>
          </c:val>
        </c:ser>
        <c:gapWidth val="80"/>
        <c:overlap val="0"/>
        <c:axId val="99919444"/>
        <c:axId val="89482509"/>
      </c:barChart>
      <c:catAx>
        <c:axId val="999194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482509"/>
        <c:crosses val="autoZero"/>
        <c:auto val="1"/>
        <c:lblAlgn val="ctr"/>
        <c:lblOffset val="100"/>
        <c:noMultiLvlLbl val="0"/>
      </c:catAx>
      <c:valAx>
        <c:axId val="8948250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Items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9194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Vegetables: Food First price relative to each supermarket (item level)</a:t>
            </a:r>
          </a:p>
        </c:rich>
      </c:tx>
      <c:overlay val="0"/>
      <c:spPr>
        <a:noFill/>
        <a:ln w="0">
          <a:noFill/>
        </a:ln>
      </c:spPr>
    </c:title>
    <c:autoTitleDeleted val="0"/>
    <c:plotArea>
      <c:barChart>
        <c:barDir val="bar"/>
        <c:grouping val="clustered"/>
        <c:varyColors val="0"/>
        <c:ser>
          <c:idx val="0"/>
          <c:order val="0"/>
          <c:tx>
            <c:strRef>
              <c:f>"FF vs Supermarket A"</c:f>
              <c:strCache>
                <c:ptCount val="1"/>
                <c:pt idx="0">
                  <c:v>FF vs Supermarket A</c:v>
                </c:pt>
              </c:strCache>
            </c:strRef>
          </c:tx>
          <c:spPr>
            <a:solidFill>
              <a:srgbClr val="eb6834"/>
            </a:solidFill>
            <a:ln w="9360">
              <a:solidFill>
                <a:srgbClr val="eb6834"/>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 Analysis'!$B$15:$B$26</c:f>
              <c:strCache>
                <c:ptCount val="12"/>
                <c:pt idx="0">
                  <c:v>Broccoli</c:v>
                </c:pt>
                <c:pt idx="1">
                  <c:v>Cauliflower</c:v>
                </c:pt>
                <c:pt idx="2">
                  <c:v>Romaine Lettuce</c:v>
                </c:pt>
                <c:pt idx="3">
                  <c:v>Iceberg Lettuce</c:v>
                </c:pt>
                <c:pt idx="4">
                  <c:v>Local Cabbage</c:v>
                </c:pt>
                <c:pt idx="5">
                  <c:v>Pumpkin</c:v>
                </c:pt>
                <c:pt idx="6">
                  <c:v>Red Cabbage</c:v>
                </c:pt>
                <c:pt idx="7">
                  <c:v>Red Onions</c:v>
                </c:pt>
                <c:pt idx="8">
                  <c:v>English Potatoes (Medium)</c:v>
                </c:pt>
                <c:pt idx="9">
                  <c:v>Cucumbers</c:v>
                </c:pt>
                <c:pt idx="10">
                  <c:v>Zucchini</c:v>
                </c:pt>
                <c:pt idx="11">
                  <c:v>Carrots</c:v>
                </c:pt>
              </c:strCache>
            </c:strRef>
          </c:cat>
          <c:val>
            <c:numRef>
              <c:f>'Category Analysis'!$C$15:$C$26</c:f>
              <c:numCache>
                <c:formatCode>0.0%;\-0.0%;0.0%</c:formatCode>
                <c:ptCount val="12"/>
                <c:pt idx="0">
                  <c:v>-0.066044029352902</c:v>
                </c:pt>
                <c:pt idx="1">
                  <c:v>-0.23949299533022</c:v>
                </c:pt>
                <c:pt idx="2">
                  <c:v>-0.374217772215269</c:v>
                </c:pt>
                <c:pt idx="3">
                  <c:v>-0.248747913188648</c:v>
                </c:pt>
                <c:pt idx="4">
                  <c:v>-0.468892261001518</c:v>
                </c:pt>
                <c:pt idx="5">
                  <c:v>-0.431818181818182</c:v>
                </c:pt>
                <c:pt idx="6">
                  <c:v>-0.499499499499499</c:v>
                </c:pt>
                <c:pt idx="7">
                  <c:v>-0.436026936026936</c:v>
                </c:pt>
                <c:pt idx="8">
                  <c:v>-0.111111111111111</c:v>
                </c:pt>
                <c:pt idx="9">
                  <c:v>0.537340619307832</c:v>
                </c:pt>
                <c:pt idx="10">
                  <c:v>-0.545040946314832</c:v>
                </c:pt>
                <c:pt idx="11">
                  <c:v>-0.529667149059334</c:v>
                </c:pt>
              </c:numCache>
            </c:numRef>
          </c:val>
        </c:ser>
        <c:ser>
          <c:idx val="1"/>
          <c:order val="1"/>
          <c:tx>
            <c:strRef>
              <c:f>"FF vs Supermarket B"</c:f>
              <c:strCache>
                <c:ptCount val="1"/>
                <c:pt idx="0">
                  <c:v>FF vs Supermarket B</c:v>
                </c:pt>
              </c:strCache>
            </c:strRef>
          </c:tx>
          <c:spPr>
            <a:solidFill>
              <a:srgbClr val="1baf7a"/>
            </a:solidFill>
            <a:ln w="9360">
              <a:solidFill>
                <a:srgbClr val="1baf7a"/>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 Analysis'!$B$15:$B$26</c:f>
              <c:strCache>
                <c:ptCount val="12"/>
                <c:pt idx="0">
                  <c:v>Broccoli</c:v>
                </c:pt>
                <c:pt idx="1">
                  <c:v>Cauliflower</c:v>
                </c:pt>
                <c:pt idx="2">
                  <c:v>Romaine Lettuce</c:v>
                </c:pt>
                <c:pt idx="3">
                  <c:v>Iceberg Lettuce</c:v>
                </c:pt>
                <c:pt idx="4">
                  <c:v>Local Cabbage</c:v>
                </c:pt>
                <c:pt idx="5">
                  <c:v>Pumpkin</c:v>
                </c:pt>
                <c:pt idx="6">
                  <c:v>Red Cabbage</c:v>
                </c:pt>
                <c:pt idx="7">
                  <c:v>Red Onions</c:v>
                </c:pt>
                <c:pt idx="8">
                  <c:v>English Potatoes (Medium)</c:v>
                </c:pt>
                <c:pt idx="9">
                  <c:v>Cucumbers</c:v>
                </c:pt>
                <c:pt idx="10">
                  <c:v>Zucchini</c:v>
                </c:pt>
                <c:pt idx="11">
                  <c:v>Carrots</c:v>
                </c:pt>
              </c:strCache>
            </c:strRef>
          </c:cat>
          <c:val>
            <c:numRef>
              <c:f>'Category Analysis'!$D$15:$D$26</c:f>
              <c:numCache>
                <c:formatCode>0.0%;\-0.0%;0.0%</c:formatCode>
                <c:ptCount val="12"/>
                <c:pt idx="0">
                  <c:v>-0.124452782989368</c:v>
                </c:pt>
                <c:pt idx="1">
                  <c:v>-0.366314619232907</c:v>
                </c:pt>
                <c:pt idx="2">
                  <c:v>-0.136442141623489</c:v>
                </c:pt>
                <c:pt idx="3">
                  <c:v>-0.356223175965665</c:v>
                </c:pt>
                <c:pt idx="4">
                  <c:v>-0.556400506970849</c:v>
                </c:pt>
                <c:pt idx="5">
                  <c:v>-0.621928166351607</c:v>
                </c:pt>
                <c:pt idx="6">
                  <c:v>-0.499499499499499</c:v>
                </c:pt>
                <c:pt idx="7">
                  <c:v>-0.624649859943978</c:v>
                </c:pt>
                <c:pt idx="8">
                  <c:v>-0.227799227799228</c:v>
                </c:pt>
                <c:pt idx="9">
                  <c:v>0.595463137996219</c:v>
                </c:pt>
                <c:pt idx="10">
                  <c:v>-0.659632402995235</c:v>
                </c:pt>
                <c:pt idx="11">
                  <c:v>-0.242056555269923</c:v>
                </c:pt>
              </c:numCache>
            </c:numRef>
          </c:val>
        </c:ser>
        <c:gapWidth val="60"/>
        <c:overlap val="-10"/>
        <c:axId val="68644749"/>
        <c:axId val="44805404"/>
      </c:barChart>
      <c:catAx>
        <c:axId val="68644749"/>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4805404"/>
        <c:crosses val="autoZero"/>
        <c:auto val="1"/>
        <c:lblAlgn val="ctr"/>
        <c:lblOffset val="100"/>
        <c:noMultiLvlLbl val="0"/>
      </c:catAx>
      <c:valAx>
        <c:axId val="44805404"/>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 difference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644749"/>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Fruits: Food First price relative to each supermarket (item level)</a:t>
            </a:r>
          </a:p>
        </c:rich>
      </c:tx>
      <c:overlay val="0"/>
      <c:spPr>
        <a:noFill/>
        <a:ln w="0">
          <a:noFill/>
        </a:ln>
      </c:spPr>
    </c:title>
    <c:autoTitleDeleted val="0"/>
    <c:plotArea>
      <c:barChart>
        <c:barDir val="bar"/>
        <c:grouping val="clustered"/>
        <c:varyColors val="0"/>
        <c:ser>
          <c:idx val="0"/>
          <c:order val="0"/>
          <c:tx>
            <c:strRef>
              <c:f>"FF vs Supermarket A"</c:f>
              <c:strCache>
                <c:ptCount val="1"/>
                <c:pt idx="0">
                  <c:v>FF vs Supermarket A</c:v>
                </c:pt>
              </c:strCache>
            </c:strRef>
          </c:tx>
          <c:spPr>
            <a:solidFill>
              <a:srgbClr val="eb6834"/>
            </a:solidFill>
            <a:ln w="9360">
              <a:solidFill>
                <a:srgbClr val="eb6834"/>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 Analysis'!$B$27:$B$45</c:f>
              <c:strCache>
                <c:ptCount val="19"/>
                <c:pt idx="0">
                  <c:v>Tomatoes</c:v>
                </c:pt>
                <c:pt idx="1">
                  <c:v>Red Apples</c:v>
                </c:pt>
                <c:pt idx="2">
                  <c:v>Green Apples</c:v>
                </c:pt>
                <c:pt idx="3">
                  <c:v>Oranges</c:v>
                </c:pt>
                <c:pt idx="4">
                  <c:v>Red Seedless Grapes</c:v>
                </c:pt>
                <c:pt idx="5">
                  <c:v>Green Seedless Grapes</c:v>
                </c:pt>
                <c:pt idx="6">
                  <c:v>Strawberries</c:v>
                </c:pt>
                <c:pt idx="7">
                  <c:v>Blueberries</c:v>
                </c:pt>
                <c:pt idx="8">
                  <c:v>Dragonfruit</c:v>
                </c:pt>
                <c:pt idx="9">
                  <c:v>Pears</c:v>
                </c:pt>
                <c:pt idx="10">
                  <c:v>Kiwis</c:v>
                </c:pt>
                <c:pt idx="11">
                  <c:v>Lemons</c:v>
                </c:pt>
                <c:pt idx="12">
                  <c:v>Limes</c:v>
                </c:pt>
                <c:pt idx="13">
                  <c:v>Jalapeno Peppers</c:v>
                </c:pt>
                <c:pt idx="14">
                  <c:v>Sweet Pepper</c:v>
                </c:pt>
                <c:pt idx="15">
                  <c:v>Grapefruit</c:v>
                </c:pt>
                <c:pt idx="16">
                  <c:v>Gala Apple</c:v>
                </c:pt>
                <c:pt idx="17">
                  <c:v>Mangoes</c:v>
                </c:pt>
                <c:pt idx="18">
                  <c:v>Watermelon</c:v>
                </c:pt>
              </c:strCache>
            </c:strRef>
          </c:cat>
          <c:val>
            <c:numRef>
              <c:f>'Category Analysis'!$C$27:$C$45</c:f>
              <c:numCache>
                <c:formatCode>0.0%;\-0.0%;0.0%</c:formatCode>
                <c:ptCount val="19"/>
                <c:pt idx="0">
                  <c:v>-0.105691056910569</c:v>
                </c:pt>
                <c:pt idx="1">
                  <c:v>0.669449081803005</c:v>
                </c:pt>
                <c:pt idx="2">
                  <c:v>-0.396984924623116</c:v>
                </c:pt>
                <c:pt idx="3">
                  <c:v>-0.328859060402685</c:v>
                </c:pt>
                <c:pt idx="4">
                  <c:v>-0.0170688640376692</c:v>
                </c:pt>
                <c:pt idx="5">
                  <c:v>-0.0106635071090048</c:v>
                </c:pt>
                <c:pt idx="6">
                  <c:v>-0.00846805234795989</c:v>
                </c:pt>
                <c:pt idx="7">
                  <c:v>0.0856856856856858</c:v>
                </c:pt>
                <c:pt idx="8">
                  <c:v>-0.0900818926296634</c:v>
                </c:pt>
                <c:pt idx="9">
                  <c:v>-0.698996655518395</c:v>
                </c:pt>
                <c:pt idx="10">
                  <c:v>0.177514792899408</c:v>
                </c:pt>
                <c:pt idx="11">
                  <c:v>-0.165971643035863</c:v>
                </c:pt>
                <c:pt idx="12">
                  <c:v>-0.0702479338842975</c:v>
                </c:pt>
                <c:pt idx="13">
                  <c:v>-0.450354609929078</c:v>
                </c:pt>
                <c:pt idx="14">
                  <c:v>0.0283490828237911</c:v>
                </c:pt>
                <c:pt idx="15">
                  <c:v>0.103678929765886</c:v>
                </c:pt>
                <c:pt idx="16">
                  <c:v>-0.748743718592965</c:v>
                </c:pt>
                <c:pt idx="17">
                  <c:v>1.24025974025974</c:v>
                </c:pt>
                <c:pt idx="18">
                  <c:v>-0.356223175965665</c:v>
                </c:pt>
              </c:numCache>
            </c:numRef>
          </c:val>
        </c:ser>
        <c:ser>
          <c:idx val="1"/>
          <c:order val="1"/>
          <c:tx>
            <c:strRef>
              <c:f>"FF vs Supermarket B"</c:f>
              <c:strCache>
                <c:ptCount val="1"/>
                <c:pt idx="0">
                  <c:v>FF vs Supermarket B</c:v>
                </c:pt>
              </c:strCache>
            </c:strRef>
          </c:tx>
          <c:spPr>
            <a:solidFill>
              <a:srgbClr val="1baf7a"/>
            </a:solidFill>
            <a:ln w="9360">
              <a:solidFill>
                <a:srgbClr val="1baf7a"/>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 Analysis'!$B$27:$B$45</c:f>
              <c:strCache>
                <c:ptCount val="19"/>
                <c:pt idx="0">
                  <c:v>Tomatoes</c:v>
                </c:pt>
                <c:pt idx="1">
                  <c:v>Red Apples</c:v>
                </c:pt>
                <c:pt idx="2">
                  <c:v>Green Apples</c:v>
                </c:pt>
                <c:pt idx="3">
                  <c:v>Oranges</c:v>
                </c:pt>
                <c:pt idx="4">
                  <c:v>Red Seedless Grapes</c:v>
                </c:pt>
                <c:pt idx="5">
                  <c:v>Green Seedless Grapes</c:v>
                </c:pt>
                <c:pt idx="6">
                  <c:v>Strawberries</c:v>
                </c:pt>
                <c:pt idx="7">
                  <c:v>Blueberries</c:v>
                </c:pt>
                <c:pt idx="8">
                  <c:v>Dragonfruit</c:v>
                </c:pt>
                <c:pt idx="9">
                  <c:v>Pears</c:v>
                </c:pt>
                <c:pt idx="10">
                  <c:v>Kiwis</c:v>
                </c:pt>
                <c:pt idx="11">
                  <c:v>Lemons</c:v>
                </c:pt>
                <c:pt idx="12">
                  <c:v>Limes</c:v>
                </c:pt>
                <c:pt idx="13">
                  <c:v>Jalapeno Peppers</c:v>
                </c:pt>
                <c:pt idx="14">
                  <c:v>Sweet Pepper</c:v>
                </c:pt>
                <c:pt idx="15">
                  <c:v>Grapefruit</c:v>
                </c:pt>
                <c:pt idx="16">
                  <c:v>Gala Apple</c:v>
                </c:pt>
                <c:pt idx="17">
                  <c:v>Mangoes</c:v>
                </c:pt>
                <c:pt idx="18">
                  <c:v>Watermelon</c:v>
                </c:pt>
              </c:strCache>
            </c:strRef>
          </c:cat>
          <c:val>
            <c:numRef>
              <c:f>'Category Analysis'!$D$27:$D$45</c:f>
              <c:numCache>
                <c:formatCode>0.0%;\-0.0%;0.0%</c:formatCode>
                <c:ptCount val="19"/>
                <c:pt idx="0">
                  <c:v>-0.0460306871247498</c:v>
                </c:pt>
                <c:pt idx="1">
                  <c:v>0.449275362318841</c:v>
                </c:pt>
                <c:pt idx="2">
                  <c:v>-0.194630872483222</c:v>
                </c:pt>
                <c:pt idx="3">
                  <c:v>-0.371069182389937</c:v>
                </c:pt>
                <c:pt idx="4">
                  <c:v>-0.120589784096893</c:v>
                </c:pt>
                <c:pt idx="5">
                  <c:v>-0.188926663428849</c:v>
                </c:pt>
                <c:pt idx="6">
                  <c:v>-0.303407247160627</c:v>
                </c:pt>
                <c:pt idx="7">
                  <c:v>0.974955414012739</c:v>
                </c:pt>
                <c:pt idx="8">
                  <c:v>-0.374609130706692</c:v>
                </c:pt>
                <c:pt idx="9">
                  <c:v>-0.395973154362416</c:v>
                </c:pt>
                <c:pt idx="10">
                  <c:v>0</c:v>
                </c:pt>
                <c:pt idx="11">
                  <c:v>-0.224806201550388</c:v>
                </c:pt>
                <c:pt idx="12">
                  <c:v>0.139240506329114</c:v>
                </c:pt>
                <c:pt idx="13">
                  <c:v>-0.584712371946415</c:v>
                </c:pt>
                <c:pt idx="14">
                  <c:v>-0.0745372686343171</c:v>
                </c:pt>
                <c:pt idx="15">
                  <c:v>0.00303951367781141</c:v>
                </c:pt>
                <c:pt idx="16">
                  <c:v>-0.655172413793103</c:v>
                </c:pt>
                <c:pt idx="17">
                  <c:v>0.875</c:v>
                </c:pt>
                <c:pt idx="18">
                  <c:v>-0.149338374291115</c:v>
                </c:pt>
              </c:numCache>
            </c:numRef>
          </c:val>
        </c:ser>
        <c:gapWidth val="60"/>
        <c:overlap val="-10"/>
        <c:axId val="91249416"/>
        <c:axId val="21731872"/>
      </c:barChart>
      <c:catAx>
        <c:axId val="9124941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1731872"/>
        <c:crosses val="autoZero"/>
        <c:auto val="1"/>
        <c:lblAlgn val="ctr"/>
        <c:lblOffset val="100"/>
        <c:noMultiLvlLbl val="0"/>
      </c:catAx>
      <c:valAx>
        <c:axId val="21731872"/>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 difference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249416"/>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Grocery: Food First price relative to each supermarket (item level)</a:t>
            </a:r>
          </a:p>
        </c:rich>
      </c:tx>
      <c:overlay val="0"/>
      <c:spPr>
        <a:noFill/>
        <a:ln w="0">
          <a:noFill/>
        </a:ln>
      </c:spPr>
    </c:title>
    <c:autoTitleDeleted val="0"/>
    <c:plotArea>
      <c:barChart>
        <c:barDir val="bar"/>
        <c:grouping val="clustered"/>
        <c:varyColors val="0"/>
        <c:ser>
          <c:idx val="0"/>
          <c:order val="0"/>
          <c:tx>
            <c:strRef>
              <c:f>"FF vs Supermarket A"</c:f>
              <c:strCache>
                <c:ptCount val="1"/>
                <c:pt idx="0">
                  <c:v>FF vs Supermarket A</c:v>
                </c:pt>
              </c:strCache>
            </c:strRef>
          </c:tx>
          <c:spPr>
            <a:solidFill>
              <a:srgbClr val="eb6834"/>
            </a:solidFill>
            <a:ln w="9360">
              <a:solidFill>
                <a:srgbClr val="eb6834"/>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 Analysis'!$B$46:$B$52</c:f>
              <c:strCache>
                <c:ptCount val="7"/>
                <c:pt idx="0">
                  <c:v>Cooking Cream</c:v>
                </c:pt>
                <c:pt idx="1">
                  <c:v>Whipping Cream</c:v>
                </c:pt>
                <c:pt idx="2">
                  <c:v>Oat Milk</c:v>
                </c:pt>
                <c:pt idx="3">
                  <c:v>Whole Milk</c:v>
                </c:pt>
                <c:pt idx="4">
                  <c:v>Eggs</c:v>
                </c:pt>
                <c:pt idx="5">
                  <c:v>Pepper Mash</c:v>
                </c:pt>
                <c:pt idx="6">
                  <c:v>Local Onions</c:v>
                </c:pt>
              </c:strCache>
            </c:strRef>
          </c:cat>
          <c:val>
            <c:numRef>
              <c:f>'Category Analysis'!$C$46:$C$52</c:f>
              <c:numCache>
                <c:formatCode>0.0%;\-0.0%;0.0%</c:formatCode>
                <c:ptCount val="7"/>
                <c:pt idx="0">
                  <c:v>-0.422854944209311</c:v>
                </c:pt>
                <c:pt idx="1">
                  <c:v>-0.422854944209311</c:v>
                </c:pt>
                <c:pt idx="2">
                  <c:v>0.00591715976331364</c:v>
                </c:pt>
                <c:pt idx="3">
                  <c:v>-0.411071849234393</c:v>
                </c:pt>
                <c:pt idx="4">
                  <c:v>-0.0374331550802138</c:v>
                </c:pt>
                <c:pt idx="5">
                  <c:v>0.13627027027027</c:v>
                </c:pt>
                <c:pt idx="6">
                  <c:v>-0.431818181818182</c:v>
                </c:pt>
              </c:numCache>
            </c:numRef>
          </c:val>
        </c:ser>
        <c:ser>
          <c:idx val="1"/>
          <c:order val="1"/>
          <c:tx>
            <c:strRef>
              <c:f>"FF vs Supermarket B"</c:f>
              <c:strCache>
                <c:ptCount val="1"/>
                <c:pt idx="0">
                  <c:v>FF vs Supermarket B</c:v>
                </c:pt>
              </c:strCache>
            </c:strRef>
          </c:tx>
          <c:spPr>
            <a:solidFill>
              <a:srgbClr val="1baf7a"/>
            </a:solidFill>
            <a:ln w="9360">
              <a:solidFill>
                <a:srgbClr val="1baf7a"/>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 Analysis'!$B$46:$B$52</c:f>
              <c:strCache>
                <c:ptCount val="7"/>
                <c:pt idx="0">
                  <c:v>Cooking Cream</c:v>
                </c:pt>
                <c:pt idx="1">
                  <c:v>Whipping Cream</c:v>
                </c:pt>
                <c:pt idx="2">
                  <c:v>Oat Milk</c:v>
                </c:pt>
                <c:pt idx="3">
                  <c:v>Whole Milk</c:v>
                </c:pt>
                <c:pt idx="4">
                  <c:v>Eggs</c:v>
                </c:pt>
                <c:pt idx="5">
                  <c:v>Pepper Mash</c:v>
                </c:pt>
                <c:pt idx="6">
                  <c:v>Local Onions</c:v>
                </c:pt>
              </c:strCache>
            </c:strRef>
          </c:cat>
          <c:val>
            <c:numRef>
              <c:f>'Category Analysis'!$D$46:$D$52</c:f>
              <c:numCache>
                <c:formatCode>0.0%;\-0.0%;0.0%</c:formatCode>
                <c:ptCount val="7"/>
                <c:pt idx="0">
                  <c:v>-0.510603588907015</c:v>
                </c:pt>
                <c:pt idx="1">
                  <c:v>-0.523052464228935</c:v>
                </c:pt>
                <c:pt idx="2">
                  <c:v>-0.226569608735214</c:v>
                </c:pt>
                <c:pt idx="3">
                  <c:v>-0.431171786120592</c:v>
                </c:pt>
                <c:pt idx="4">
                  <c:v>-0.027027027027027</c:v>
                </c:pt>
                <c:pt idx="5">
                  <c:v>0.222222222222222</c:v>
                </c:pt>
                <c:pt idx="6">
                  <c:v>-0.49874686716792</c:v>
                </c:pt>
              </c:numCache>
            </c:numRef>
          </c:val>
        </c:ser>
        <c:gapWidth val="60"/>
        <c:overlap val="-10"/>
        <c:axId val="96971996"/>
        <c:axId val="11138350"/>
      </c:barChart>
      <c:catAx>
        <c:axId val="9697199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1138350"/>
        <c:crosses val="autoZero"/>
        <c:auto val="1"/>
        <c:lblAlgn val="ctr"/>
        <c:lblOffset val="100"/>
        <c:noMultiLvlLbl val="0"/>
      </c:catAx>
      <c:valAx>
        <c:axId val="11138350"/>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 difference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971996"/>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131040</xdr:rowOff>
    </xdr:from>
    <xdr:to>
      <xdr:col>9</xdr:col>
      <xdr:colOff>370080</xdr:colOff>
      <xdr:row>19</xdr:row>
      <xdr:rowOff>132120</xdr:rowOff>
    </xdr:to>
    <xdr:graphicFrame>
      <xdr:nvGraphicFramePr>
        <xdr:cNvPr id="0" name="Chart 1"/>
        <xdr:cNvGraphicFramePr/>
      </xdr:nvGraphicFramePr>
      <xdr:xfrm>
        <a:off x="0" y="57168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21</xdr:row>
      <xdr:rowOff>131040</xdr:rowOff>
    </xdr:from>
    <xdr:to>
      <xdr:col>9</xdr:col>
      <xdr:colOff>370080</xdr:colOff>
      <xdr:row>38</xdr:row>
      <xdr:rowOff>132120</xdr:rowOff>
    </xdr:to>
    <xdr:graphicFrame>
      <xdr:nvGraphicFramePr>
        <xdr:cNvPr id="1" name="Chart 2"/>
        <xdr:cNvGraphicFramePr/>
      </xdr:nvGraphicFramePr>
      <xdr:xfrm>
        <a:off x="0" y="4191120"/>
        <a:ext cx="719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40</xdr:row>
      <xdr:rowOff>131040</xdr:rowOff>
    </xdr:from>
    <xdr:to>
      <xdr:col>6</xdr:col>
      <xdr:colOff>486720</xdr:colOff>
      <xdr:row>55</xdr:row>
      <xdr:rowOff>153000</xdr:rowOff>
    </xdr:to>
    <xdr:graphicFrame>
      <xdr:nvGraphicFramePr>
        <xdr:cNvPr id="2" name="Chart 3"/>
        <xdr:cNvGraphicFramePr/>
      </xdr:nvGraphicFramePr>
      <xdr:xfrm>
        <a:off x="0" y="7810560"/>
        <a:ext cx="50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58</xdr:row>
      <xdr:rowOff>131040</xdr:rowOff>
    </xdr:from>
    <xdr:to>
      <xdr:col>11</xdr:col>
      <xdr:colOff>292680</xdr:colOff>
      <xdr:row>77</xdr:row>
      <xdr:rowOff>182880</xdr:rowOff>
    </xdr:to>
    <xdr:graphicFrame>
      <xdr:nvGraphicFramePr>
        <xdr:cNvPr id="3" name="Chart 4"/>
        <xdr:cNvGraphicFramePr/>
      </xdr:nvGraphicFramePr>
      <xdr:xfrm>
        <a:off x="0" y="11239560"/>
        <a:ext cx="8639640" cy="3671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80</xdr:row>
      <xdr:rowOff>131040</xdr:rowOff>
    </xdr:from>
    <xdr:to>
      <xdr:col>11</xdr:col>
      <xdr:colOff>292680</xdr:colOff>
      <xdr:row>107</xdr:row>
      <xdr:rowOff>171000</xdr:rowOff>
    </xdr:to>
    <xdr:graphicFrame>
      <xdr:nvGraphicFramePr>
        <xdr:cNvPr id="4" name="Chart 5"/>
        <xdr:cNvGraphicFramePr/>
      </xdr:nvGraphicFramePr>
      <xdr:xfrm>
        <a:off x="0" y="15430680"/>
        <a:ext cx="8639640" cy="5183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110</xdr:row>
      <xdr:rowOff>131040</xdr:rowOff>
    </xdr:from>
    <xdr:to>
      <xdr:col>11</xdr:col>
      <xdr:colOff>292680</xdr:colOff>
      <xdr:row>124</xdr:row>
      <xdr:rowOff>55800</xdr:rowOff>
    </xdr:to>
    <xdr:graphicFrame>
      <xdr:nvGraphicFramePr>
        <xdr:cNvPr id="5" name="Chart 6"/>
        <xdr:cNvGraphicFramePr/>
      </xdr:nvGraphicFramePr>
      <xdr:xfrm>
        <a:off x="0" y="21145680"/>
        <a:ext cx="8639640" cy="2591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9.7" hidden="false" customHeight="false" outlineLevel="0" collapsed="false">
      <c r="A1" s="1" t="s">
        <v>0</v>
      </c>
      <c r="B1" s="1"/>
    </row>
    <row r="2" customFormat="false" ht="15" hidden="false" customHeight="false" outlineLevel="0" collapsed="false">
      <c r="A2" s="2" t="s">
        <v>1</v>
      </c>
      <c r="B2" s="2"/>
    </row>
    <row r="4" customFormat="false" ht="45" hidden="false" customHeight="true" outlineLevel="0" collapsed="false">
      <c r="A4" s="3" t="s">
        <v>2</v>
      </c>
      <c r="B4" s="4" t="s">
        <v>3</v>
      </c>
    </row>
    <row r="5" customFormat="false" ht="30" hidden="false" customHeight="true" outlineLevel="0" collapsed="false">
      <c r="A5" s="3" t="s">
        <v>4</v>
      </c>
      <c r="B5" s="4" t="s">
        <v>5</v>
      </c>
    </row>
    <row r="6" customFormat="false" ht="30" hidden="false" customHeight="true" outlineLevel="0" collapsed="false">
      <c r="A6" s="3" t="s">
        <v>6</v>
      </c>
      <c r="B6" s="4" t="s">
        <v>7</v>
      </c>
    </row>
    <row r="7" customFormat="false" ht="45" hidden="false" customHeight="true" outlineLevel="0" collapsed="false">
      <c r="A7" s="3" t="s">
        <v>8</v>
      </c>
      <c r="B7" s="4" t="s">
        <v>9</v>
      </c>
    </row>
    <row r="8" customFormat="false" ht="30" hidden="false" customHeight="true" outlineLevel="0" collapsed="false">
      <c r="A8" s="3" t="s">
        <v>10</v>
      </c>
      <c r="B8" s="4" t="s">
        <v>11</v>
      </c>
    </row>
    <row r="9" customFormat="false" ht="60" hidden="false" customHeight="true" outlineLevel="0" collapsed="false">
      <c r="A9" s="3" t="s">
        <v>12</v>
      </c>
      <c r="B9" s="4" t="s">
        <v>13</v>
      </c>
    </row>
    <row r="10" customFormat="false" ht="45" hidden="false" customHeight="true" outlineLevel="0" collapsed="false">
      <c r="A10" s="3" t="s">
        <v>14</v>
      </c>
      <c r="B10" s="4" t="s">
        <v>15</v>
      </c>
    </row>
    <row r="11" customFormat="false" ht="60" hidden="false" customHeight="true" outlineLevel="0" collapsed="false">
      <c r="A11" s="3" t="s">
        <v>16</v>
      </c>
      <c r="B11" s="4" t="s">
        <v>17</v>
      </c>
    </row>
    <row r="12" customFormat="false" ht="30" hidden="false" customHeight="true" outlineLevel="0" collapsed="false">
      <c r="A12" s="3" t="s">
        <v>18</v>
      </c>
      <c r="B12" s="4" t="s">
        <v>19</v>
      </c>
    </row>
    <row r="13" customFormat="false" ht="45" hidden="false" customHeight="true" outlineLevel="0" collapsed="false">
      <c r="A13" s="3" t="s">
        <v>20</v>
      </c>
      <c r="B13" s="4" t="s">
        <v>21</v>
      </c>
    </row>
    <row r="14" customFormat="false" ht="30" hidden="false" customHeight="true" outlineLevel="0" collapsed="false">
      <c r="A14" s="3" t="s">
        <v>22</v>
      </c>
      <c r="B14" s="4" t="s">
        <v>23</v>
      </c>
    </row>
    <row r="15" customFormat="false" ht="45" hidden="false" customHeight="true" outlineLevel="0" collapsed="false">
      <c r="A15" s="3" t="s">
        <v>24</v>
      </c>
      <c r="B15" s="4" t="s">
        <v>25</v>
      </c>
    </row>
    <row r="16" customFormat="false" ht="30" hidden="false" customHeight="true" outlineLevel="0" collapsed="false">
      <c r="A16" s="3" t="s">
        <v>26</v>
      </c>
      <c r="B16" s="4" t="s">
        <v>27</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T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6" min="5" style="0" width="11"/>
    <col collapsed="false" customWidth="true" hidden="false" outlineLevel="0" max="7" min="7" style="0" width="24"/>
    <col collapsed="false" customWidth="true" hidden="false" outlineLevel="0" max="9" min="8" style="0" width="11"/>
    <col collapsed="false" customWidth="true" hidden="false" outlineLevel="0" max="10" min="10" style="0" width="24"/>
    <col collapsed="false" customWidth="true" hidden="false" outlineLevel="0" max="11" min="11" style="0" width="11"/>
    <col collapsed="false" customWidth="true" hidden="false" outlineLevel="0" max="12" min="12" style="0" width="9"/>
    <col collapsed="false" customWidth="true" hidden="false" outlineLevel="0" max="15" min="13" style="0" width="13"/>
    <col collapsed="false" customWidth="true" hidden="false" outlineLevel="0" max="16" min="16" style="0" width="15"/>
    <col collapsed="false" customWidth="true" hidden="false" outlineLevel="0" max="19" min="17" style="0" width="11"/>
    <col collapsed="false" customWidth="true" hidden="false" outlineLevel="0" max="20" min="20" style="0" width="70"/>
  </cols>
  <sheetData>
    <row r="1" customFormat="false" ht="19.7" hidden="false" customHeight="false" outlineLevel="0" collapsed="false">
      <c r="A1" s="1" t="s">
        <v>28</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29</v>
      </c>
      <c r="B2" s="2"/>
      <c r="C2" s="2"/>
      <c r="D2" s="2"/>
      <c r="E2" s="2"/>
      <c r="F2" s="2"/>
      <c r="G2" s="2"/>
      <c r="H2" s="2"/>
      <c r="I2" s="2"/>
      <c r="J2" s="2"/>
      <c r="K2" s="2"/>
      <c r="L2" s="2"/>
      <c r="M2" s="2"/>
      <c r="N2" s="2"/>
      <c r="O2" s="2"/>
      <c r="P2" s="2"/>
      <c r="Q2" s="2"/>
      <c r="R2" s="2"/>
      <c r="S2" s="2"/>
      <c r="T2" s="2"/>
    </row>
    <row r="3" customFormat="false" ht="19.5" hidden="false" customHeight="true" outlineLevel="0" collapsed="false">
      <c r="A3" s="5" t="s">
        <v>30</v>
      </c>
      <c r="B3" s="5"/>
      <c r="C3" s="5"/>
      <c r="D3" s="5"/>
      <c r="E3" s="6" t="s">
        <v>31</v>
      </c>
      <c r="F3" s="7" t="s">
        <v>32</v>
      </c>
      <c r="G3" s="7"/>
      <c r="H3" s="7"/>
      <c r="I3" s="8" t="s">
        <v>33</v>
      </c>
      <c r="J3" s="8"/>
      <c r="K3" s="8"/>
      <c r="L3" s="9" t="s">
        <v>34</v>
      </c>
      <c r="M3" s="5" t="s">
        <v>35</v>
      </c>
      <c r="N3" s="5"/>
      <c r="O3" s="5"/>
      <c r="P3" s="9" t="s">
        <v>36</v>
      </c>
      <c r="Q3" s="5" t="s">
        <v>37</v>
      </c>
      <c r="R3" s="5"/>
      <c r="S3" s="5"/>
      <c r="T3" s="9" t="s">
        <v>38</v>
      </c>
    </row>
    <row r="4" customFormat="false" ht="42" hidden="false" customHeight="true" outlineLevel="0" collapsed="false">
      <c r="A4" s="10" t="s">
        <v>39</v>
      </c>
      <c r="B4" s="10" t="s">
        <v>40</v>
      </c>
      <c r="C4" s="10" t="s">
        <v>30</v>
      </c>
      <c r="D4" s="10" t="s">
        <v>41</v>
      </c>
      <c r="E4" s="10" t="s">
        <v>42</v>
      </c>
      <c r="F4" s="10" t="s">
        <v>43</v>
      </c>
      <c r="G4" s="10" t="s">
        <v>44</v>
      </c>
      <c r="H4" s="10" t="s">
        <v>45</v>
      </c>
      <c r="I4" s="10" t="s">
        <v>43</v>
      </c>
      <c r="J4" s="10" t="s">
        <v>44</v>
      </c>
      <c r="K4" s="10" t="s">
        <v>45</v>
      </c>
      <c r="L4" s="10" t="s">
        <v>46</v>
      </c>
      <c r="M4" s="10" t="s">
        <v>47</v>
      </c>
      <c r="N4" s="10" t="s">
        <v>48</v>
      </c>
      <c r="O4" s="10" t="s">
        <v>49</v>
      </c>
      <c r="P4" s="10" t="s">
        <v>50</v>
      </c>
      <c r="Q4" s="10" t="s">
        <v>31</v>
      </c>
      <c r="R4" s="10" t="s">
        <v>32</v>
      </c>
      <c r="S4" s="10" t="s">
        <v>33</v>
      </c>
      <c r="T4" s="10" t="s">
        <v>51</v>
      </c>
    </row>
    <row r="5" customFormat="false" ht="15" hidden="false" customHeight="false" outlineLevel="0" collapsed="false">
      <c r="A5" s="11" t="n">
        <v>1</v>
      </c>
      <c r="B5" s="12" t="s">
        <v>52</v>
      </c>
      <c r="C5" s="12" t="s">
        <v>53</v>
      </c>
      <c r="D5" s="12" t="s">
        <v>54</v>
      </c>
      <c r="E5" s="13" t="n">
        <v>14</v>
      </c>
      <c r="F5" s="13" t="n">
        <v>14.99</v>
      </c>
      <c r="G5" s="12" t="s">
        <v>54</v>
      </c>
      <c r="H5" s="14" t="n">
        <v>1</v>
      </c>
      <c r="I5" s="13" t="n">
        <v>15.99</v>
      </c>
      <c r="J5" s="12" t="s">
        <v>54</v>
      </c>
      <c r="K5" s="14" t="n">
        <v>1</v>
      </c>
      <c r="L5" s="15" t="s">
        <v>55</v>
      </c>
      <c r="M5" s="16" t="n">
        <f aca="false">IF($L5="Y",Q5/R5-1,"")</f>
        <v>-0.066044029352902</v>
      </c>
      <c r="N5" s="16" t="n">
        <f aca="false">IF($L5="Y",Q5/S5-1,"")</f>
        <v>-0.124452782989368</v>
      </c>
      <c r="O5" s="16" t="n">
        <f aca="false">IF($L5="Y",R5/S5-1,"")</f>
        <v>-0.0625390869293309</v>
      </c>
      <c r="P5" s="11" t="str">
        <f aca="false">IF($L5="Y",IF(Q5&lt;=MIN(R5,S5),"Food First",IF(R5&lt;=S5,"Supermarket A","Supermarket B")),"Excluded")</f>
        <v>Food First</v>
      </c>
      <c r="Q5" s="17" t="n">
        <f aca="false">E5</f>
        <v>14</v>
      </c>
      <c r="R5" s="17" t="n">
        <f aca="false">F5/H5</f>
        <v>14.99</v>
      </c>
      <c r="S5" s="17" t="n">
        <f aca="false">I5/K5</f>
        <v>15.99</v>
      </c>
      <c r="T5" s="18"/>
    </row>
    <row r="6" customFormat="false" ht="15" hidden="false" customHeight="false" outlineLevel="0" collapsed="false">
      <c r="A6" s="11" t="n">
        <v>2</v>
      </c>
      <c r="B6" s="12" t="s">
        <v>52</v>
      </c>
      <c r="C6" s="12" t="s">
        <v>56</v>
      </c>
      <c r="D6" s="12" t="s">
        <v>54</v>
      </c>
      <c r="E6" s="13" t="n">
        <v>11.4</v>
      </c>
      <c r="F6" s="13" t="n">
        <v>14.99</v>
      </c>
      <c r="G6" s="12" t="s">
        <v>54</v>
      </c>
      <c r="H6" s="14" t="n">
        <v>1</v>
      </c>
      <c r="I6" s="13" t="n">
        <v>17.99</v>
      </c>
      <c r="J6" s="12" t="s">
        <v>54</v>
      </c>
      <c r="K6" s="14" t="n">
        <v>1</v>
      </c>
      <c r="L6" s="15" t="s">
        <v>55</v>
      </c>
      <c r="M6" s="16" t="n">
        <f aca="false">IF($L6="Y",Q6/R6-1,"")</f>
        <v>-0.23949299533022</v>
      </c>
      <c r="N6" s="16" t="n">
        <f aca="false">IF($L6="Y",Q6/S6-1,"")</f>
        <v>-0.366314619232907</v>
      </c>
      <c r="O6" s="16" t="n">
        <f aca="false">IF($L6="Y",R6/S6-1,"")</f>
        <v>-0.166759310728182</v>
      </c>
      <c r="P6" s="11" t="str">
        <f aca="false">IF($L6="Y",IF(Q6&lt;=MIN(R6,S6),"Food First",IF(R6&lt;=S6,"Supermarket A","Supermarket B")),"Excluded")</f>
        <v>Food First</v>
      </c>
      <c r="Q6" s="17" t="n">
        <f aca="false">E6</f>
        <v>11.4</v>
      </c>
      <c r="R6" s="17" t="n">
        <f aca="false">F6/H6</f>
        <v>14.99</v>
      </c>
      <c r="S6" s="17" t="n">
        <f aca="false">I6/K6</f>
        <v>17.99</v>
      </c>
      <c r="T6" s="18"/>
    </row>
    <row r="7" customFormat="false" ht="22.35" hidden="false" customHeight="false" outlineLevel="0" collapsed="false">
      <c r="A7" s="11" t="n">
        <v>3</v>
      </c>
      <c r="B7" s="12" t="s">
        <v>52</v>
      </c>
      <c r="C7" s="12" t="s">
        <v>57</v>
      </c>
      <c r="D7" s="12" t="s">
        <v>58</v>
      </c>
      <c r="E7" s="13" t="n">
        <v>5</v>
      </c>
      <c r="F7" s="13" t="n">
        <v>7.99</v>
      </c>
      <c r="G7" s="12" t="s">
        <v>59</v>
      </c>
      <c r="H7" s="14" t="n">
        <v>1</v>
      </c>
      <c r="I7" s="13" t="n">
        <v>5.79</v>
      </c>
      <c r="J7" s="12" t="s">
        <v>60</v>
      </c>
      <c r="K7" s="14" t="n">
        <v>1</v>
      </c>
      <c r="L7" s="15" t="s">
        <v>55</v>
      </c>
      <c r="M7" s="16" t="n">
        <f aca="false">IF($L7="Y",Q7/R7-1,"")</f>
        <v>-0.374217772215269</v>
      </c>
      <c r="N7" s="16" t="n">
        <f aca="false">IF($L7="Y",Q7/S7-1,"")</f>
        <v>-0.136442141623489</v>
      </c>
      <c r="O7" s="16" t="n">
        <f aca="false">IF($L7="Y",R7/S7-1,"")</f>
        <v>0.379965457685665</v>
      </c>
      <c r="P7" s="11" t="str">
        <f aca="false">IF($L7="Y",IF(Q7&lt;=MIN(R7,S7),"Food First",IF(R7&lt;=S7,"Supermarket A","Supermarket B")),"Excluded")</f>
        <v>Food First</v>
      </c>
      <c r="Q7" s="17" t="n">
        <f aca="false">E7</f>
        <v>5</v>
      </c>
      <c r="R7" s="17" t="n">
        <f aca="false">F7/H7</f>
        <v>7.99</v>
      </c>
      <c r="S7" s="17" t="n">
        <f aca="false">I7/K7</f>
        <v>5.79</v>
      </c>
      <c r="T7" s="18" t="s">
        <v>61</v>
      </c>
    </row>
    <row r="8" customFormat="false" ht="15" hidden="false" customHeight="false" outlineLevel="0" collapsed="false">
      <c r="A8" s="11" t="n">
        <v>4</v>
      </c>
      <c r="B8" s="12" t="s">
        <v>52</v>
      </c>
      <c r="C8" s="12" t="s">
        <v>62</v>
      </c>
      <c r="D8" s="12" t="s">
        <v>58</v>
      </c>
      <c r="E8" s="13" t="n">
        <v>4.5</v>
      </c>
      <c r="F8" s="13" t="n">
        <v>5.99</v>
      </c>
      <c r="G8" s="12" t="s">
        <v>63</v>
      </c>
      <c r="H8" s="14" t="n">
        <v>1</v>
      </c>
      <c r="I8" s="13" t="n">
        <v>6.99</v>
      </c>
      <c r="J8" s="12" t="s">
        <v>63</v>
      </c>
      <c r="K8" s="14" t="n">
        <v>1</v>
      </c>
      <c r="L8" s="15" t="s">
        <v>55</v>
      </c>
      <c r="M8" s="16" t="n">
        <f aca="false">IF($L8="Y",Q8/R8-1,"")</f>
        <v>-0.248747913188648</v>
      </c>
      <c r="N8" s="16" t="n">
        <f aca="false">IF($L8="Y",Q8/S8-1,"")</f>
        <v>-0.356223175965665</v>
      </c>
      <c r="O8" s="16" t="n">
        <f aca="false">IF($L8="Y",R8/S8-1,"")</f>
        <v>-0.143061516452074</v>
      </c>
      <c r="P8" s="11" t="str">
        <f aca="false">IF($L8="Y",IF(Q8&lt;=MIN(R8,S8),"Food First",IF(R8&lt;=S8,"Supermarket A","Supermarket B")),"Excluded")</f>
        <v>Food First</v>
      </c>
      <c r="Q8" s="17" t="n">
        <f aca="false">E8</f>
        <v>4.5</v>
      </c>
      <c r="R8" s="17" t="n">
        <f aca="false">F8/H8</f>
        <v>5.99</v>
      </c>
      <c r="S8" s="17" t="n">
        <f aca="false">I8/K8</f>
        <v>6.99</v>
      </c>
      <c r="T8" s="18"/>
    </row>
    <row r="9" customFormat="false" ht="15" hidden="false" customHeight="false" outlineLevel="0" collapsed="false">
      <c r="A9" s="11" t="n">
        <v>5</v>
      </c>
      <c r="B9" s="12" t="s">
        <v>52</v>
      </c>
      <c r="C9" s="12" t="s">
        <v>64</v>
      </c>
      <c r="D9" s="12" t="s">
        <v>54</v>
      </c>
      <c r="E9" s="13" t="n">
        <v>3.5</v>
      </c>
      <c r="F9" s="13" t="n">
        <v>6.59</v>
      </c>
      <c r="G9" s="12" t="s">
        <v>54</v>
      </c>
      <c r="H9" s="14" t="n">
        <v>1</v>
      </c>
      <c r="I9" s="13" t="n">
        <v>7.89</v>
      </c>
      <c r="J9" s="12" t="s">
        <v>54</v>
      </c>
      <c r="K9" s="14" t="n">
        <v>1</v>
      </c>
      <c r="L9" s="15" t="s">
        <v>55</v>
      </c>
      <c r="M9" s="16" t="n">
        <f aca="false">IF($L9="Y",Q9/R9-1,"")</f>
        <v>-0.468892261001518</v>
      </c>
      <c r="N9" s="16" t="n">
        <f aca="false">IF($L9="Y",Q9/S9-1,"")</f>
        <v>-0.556400506970849</v>
      </c>
      <c r="O9" s="16" t="n">
        <f aca="false">IF($L9="Y",R9/S9-1,"")</f>
        <v>-0.164765525982256</v>
      </c>
      <c r="P9" s="11" t="str">
        <f aca="false">IF($L9="Y",IF(Q9&lt;=MIN(R9,S9),"Food First",IF(R9&lt;=S9,"Supermarket A","Supermarket B")),"Excluded")</f>
        <v>Food First</v>
      </c>
      <c r="Q9" s="17" t="n">
        <f aca="false">E9</f>
        <v>3.5</v>
      </c>
      <c r="R9" s="17" t="n">
        <f aca="false">F9/H9</f>
        <v>6.59</v>
      </c>
      <c r="S9" s="17" t="n">
        <f aca="false">I9/K9</f>
        <v>7.89</v>
      </c>
      <c r="T9" s="18"/>
    </row>
    <row r="10" customFormat="false" ht="15" hidden="false" customHeight="false" outlineLevel="0" collapsed="false">
      <c r="A10" s="11" t="n">
        <v>6</v>
      </c>
      <c r="B10" s="12" t="s">
        <v>52</v>
      </c>
      <c r="C10" s="12" t="s">
        <v>65</v>
      </c>
      <c r="D10" s="12" t="s">
        <v>54</v>
      </c>
      <c r="E10" s="13" t="n">
        <v>2</v>
      </c>
      <c r="F10" s="13" t="n">
        <v>3.52</v>
      </c>
      <c r="G10" s="12" t="s">
        <v>54</v>
      </c>
      <c r="H10" s="14" t="n">
        <v>1</v>
      </c>
      <c r="I10" s="13" t="n">
        <v>5.29</v>
      </c>
      <c r="J10" s="12" t="s">
        <v>54</v>
      </c>
      <c r="K10" s="14" t="n">
        <v>1</v>
      </c>
      <c r="L10" s="15" t="s">
        <v>55</v>
      </c>
      <c r="M10" s="16" t="n">
        <f aca="false">IF($L10="Y",Q10/R10-1,"")</f>
        <v>-0.431818181818182</v>
      </c>
      <c r="N10" s="16" t="n">
        <f aca="false">IF($L10="Y",Q10/S10-1,"")</f>
        <v>-0.621928166351607</v>
      </c>
      <c r="O10" s="16" t="n">
        <f aca="false">IF($L10="Y",R10/S10-1,"")</f>
        <v>-0.334593572778828</v>
      </c>
      <c r="P10" s="11" t="str">
        <f aca="false">IF($L10="Y",IF(Q10&lt;=MIN(R10,S10),"Food First",IF(R10&lt;=S10,"Supermarket A","Supermarket B")),"Excluded")</f>
        <v>Food First</v>
      </c>
      <c r="Q10" s="17" t="n">
        <f aca="false">E10</f>
        <v>2</v>
      </c>
      <c r="R10" s="17" t="n">
        <f aca="false">F10/H10</f>
        <v>3.52</v>
      </c>
      <c r="S10" s="17" t="n">
        <f aca="false">I10/K10</f>
        <v>5.29</v>
      </c>
      <c r="T10" s="18"/>
    </row>
    <row r="11" customFormat="false" ht="15" hidden="false" customHeight="false" outlineLevel="0" collapsed="false">
      <c r="A11" s="11" t="n">
        <v>7</v>
      </c>
      <c r="B11" s="12" t="s">
        <v>52</v>
      </c>
      <c r="C11" s="12" t="s">
        <v>66</v>
      </c>
      <c r="D11" s="12" t="s">
        <v>54</v>
      </c>
      <c r="E11" s="13" t="n">
        <v>5</v>
      </c>
      <c r="F11" s="13" t="n">
        <v>9.99</v>
      </c>
      <c r="G11" s="12" t="s">
        <v>54</v>
      </c>
      <c r="H11" s="14" t="n">
        <v>1</v>
      </c>
      <c r="I11" s="13" t="n">
        <v>9.99</v>
      </c>
      <c r="J11" s="12" t="s">
        <v>54</v>
      </c>
      <c r="K11" s="14" t="n">
        <v>1</v>
      </c>
      <c r="L11" s="15" t="s">
        <v>55</v>
      </c>
      <c r="M11" s="16" t="n">
        <f aca="false">IF($L11="Y",Q11/R11-1,"")</f>
        <v>-0.499499499499499</v>
      </c>
      <c r="N11" s="16" t="n">
        <f aca="false">IF($L11="Y",Q11/S11-1,"")</f>
        <v>-0.499499499499499</v>
      </c>
      <c r="O11" s="16" t="n">
        <f aca="false">IF($L11="Y",R11/S11-1,"")</f>
        <v>0</v>
      </c>
      <c r="P11" s="11" t="str">
        <f aca="false">IF($L11="Y",IF(Q11&lt;=MIN(R11,S11),"Food First",IF(R11&lt;=S11,"Supermarket A","Supermarket B")),"Excluded")</f>
        <v>Food First</v>
      </c>
      <c r="Q11" s="17" t="n">
        <f aca="false">E11</f>
        <v>5</v>
      </c>
      <c r="R11" s="17" t="n">
        <f aca="false">F11/H11</f>
        <v>9.99</v>
      </c>
      <c r="S11" s="17" t="n">
        <f aca="false">I11/K11</f>
        <v>9.99</v>
      </c>
      <c r="T11" s="18"/>
    </row>
    <row r="12" customFormat="false" ht="15" hidden="false" customHeight="false" outlineLevel="0" collapsed="false">
      <c r="A12" s="11" t="n">
        <v>8</v>
      </c>
      <c r="B12" s="12" t="s">
        <v>52</v>
      </c>
      <c r="C12" s="12" t="s">
        <v>67</v>
      </c>
      <c r="D12" s="12" t="s">
        <v>54</v>
      </c>
      <c r="E12" s="13" t="n">
        <v>6.7</v>
      </c>
      <c r="F12" s="13" t="n">
        <v>11.88</v>
      </c>
      <c r="G12" s="12" t="s">
        <v>54</v>
      </c>
      <c r="H12" s="14" t="n">
        <v>1</v>
      </c>
      <c r="I12" s="13" t="n">
        <v>17.85</v>
      </c>
      <c r="J12" s="12" t="s">
        <v>54</v>
      </c>
      <c r="K12" s="14" t="n">
        <v>1</v>
      </c>
      <c r="L12" s="15" t="s">
        <v>55</v>
      </c>
      <c r="M12" s="16" t="n">
        <f aca="false">IF($L12="Y",Q12/R12-1,"")</f>
        <v>-0.436026936026936</v>
      </c>
      <c r="N12" s="16" t="n">
        <f aca="false">IF($L12="Y",Q12/S12-1,"")</f>
        <v>-0.624649859943978</v>
      </c>
      <c r="O12" s="16" t="n">
        <f aca="false">IF($L12="Y",R12/S12-1,"")</f>
        <v>-0.334453781512605</v>
      </c>
      <c r="P12" s="11" t="str">
        <f aca="false">IF($L12="Y",IF(Q12&lt;=MIN(R12,S12),"Food First",IF(R12&lt;=S12,"Supermarket A","Supermarket B")),"Excluded")</f>
        <v>Food First</v>
      </c>
      <c r="Q12" s="17" t="n">
        <f aca="false">E12</f>
        <v>6.7</v>
      </c>
      <c r="R12" s="17" t="n">
        <f aca="false">F12/H12</f>
        <v>11.88</v>
      </c>
      <c r="S12" s="17" t="n">
        <f aca="false">I12/K12</f>
        <v>17.85</v>
      </c>
      <c r="T12" s="18"/>
    </row>
    <row r="13" customFormat="false" ht="15" hidden="false" customHeight="false" outlineLevel="0" collapsed="false">
      <c r="A13" s="11" t="n">
        <v>9</v>
      </c>
      <c r="B13" s="12" t="s">
        <v>52</v>
      </c>
      <c r="C13" s="12" t="s">
        <v>68</v>
      </c>
      <c r="D13" s="12" t="s">
        <v>54</v>
      </c>
      <c r="E13" s="13" t="n">
        <v>2</v>
      </c>
      <c r="F13" s="13" t="n">
        <v>2.25</v>
      </c>
      <c r="G13" s="12" t="s">
        <v>54</v>
      </c>
      <c r="H13" s="14" t="n">
        <v>1</v>
      </c>
      <c r="I13" s="13" t="n">
        <v>2.59</v>
      </c>
      <c r="J13" s="12" t="s">
        <v>54</v>
      </c>
      <c r="K13" s="14" t="n">
        <v>1</v>
      </c>
      <c r="L13" s="15" t="s">
        <v>55</v>
      </c>
      <c r="M13" s="16" t="n">
        <f aca="false">IF($L13="Y",Q13/R13-1,"")</f>
        <v>-0.111111111111111</v>
      </c>
      <c r="N13" s="16" t="n">
        <f aca="false">IF($L13="Y",Q13/S13-1,"")</f>
        <v>-0.227799227799228</v>
      </c>
      <c r="O13" s="16" t="n">
        <f aca="false">IF($L13="Y",R13/S13-1,"")</f>
        <v>-0.131274131274131</v>
      </c>
      <c r="P13" s="11" t="str">
        <f aca="false">IF($L13="Y",IF(Q13&lt;=MIN(R13,S13),"Food First",IF(R13&lt;=S13,"Supermarket A","Supermarket B")),"Excluded")</f>
        <v>Food First</v>
      </c>
      <c r="Q13" s="17" t="n">
        <f aca="false">E13</f>
        <v>2</v>
      </c>
      <c r="R13" s="17" t="n">
        <f aca="false">F13/H13</f>
        <v>2.25</v>
      </c>
      <c r="S13" s="17" t="n">
        <f aca="false">I13/K13</f>
        <v>2.59</v>
      </c>
      <c r="T13" s="18"/>
    </row>
    <row r="14" customFormat="false" ht="15" hidden="false" customHeight="false" outlineLevel="0" collapsed="false">
      <c r="A14" s="11" t="n">
        <v>10</v>
      </c>
      <c r="B14" s="12" t="s">
        <v>52</v>
      </c>
      <c r="C14" s="12" t="s">
        <v>69</v>
      </c>
      <c r="D14" s="12" t="s">
        <v>54</v>
      </c>
      <c r="E14" s="13" t="n">
        <v>8.44</v>
      </c>
      <c r="F14" s="13" t="n">
        <v>5.49</v>
      </c>
      <c r="G14" s="12" t="s">
        <v>54</v>
      </c>
      <c r="H14" s="14" t="n">
        <v>1</v>
      </c>
      <c r="I14" s="13" t="n">
        <v>5.29</v>
      </c>
      <c r="J14" s="12" t="s">
        <v>54</v>
      </c>
      <c r="K14" s="14" t="n">
        <v>1</v>
      </c>
      <c r="L14" s="15" t="s">
        <v>55</v>
      </c>
      <c r="M14" s="16" t="n">
        <f aca="false">IF($L14="Y",Q14/R14-1,"")</f>
        <v>0.537340619307832</v>
      </c>
      <c r="N14" s="16" t="n">
        <f aca="false">IF($L14="Y",Q14/S14-1,"")</f>
        <v>0.595463137996219</v>
      </c>
      <c r="O14" s="16" t="n">
        <f aca="false">IF($L14="Y",R14/S14-1,"")</f>
        <v>0.0378071833648395</v>
      </c>
      <c r="P14" s="11" t="str">
        <f aca="false">IF($L14="Y",IF(Q14&lt;=MIN(R14,S14),"Food First",IF(R14&lt;=S14,"Supermarket A","Supermarket B")),"Excluded")</f>
        <v>Supermarket B</v>
      </c>
      <c r="Q14" s="17" t="n">
        <f aca="false">E14</f>
        <v>8.44</v>
      </c>
      <c r="R14" s="17" t="n">
        <f aca="false">F14/H14</f>
        <v>5.49</v>
      </c>
      <c r="S14" s="17" t="n">
        <f aca="false">I14/K14</f>
        <v>5.29</v>
      </c>
      <c r="T14" s="18"/>
    </row>
    <row r="15" customFormat="false" ht="15" hidden="false" customHeight="false" outlineLevel="0" collapsed="false">
      <c r="A15" s="11" t="n">
        <v>11</v>
      </c>
      <c r="B15" s="12" t="s">
        <v>52</v>
      </c>
      <c r="C15" s="12" t="s">
        <v>70</v>
      </c>
      <c r="D15" s="12" t="s">
        <v>54</v>
      </c>
      <c r="E15" s="13" t="n">
        <v>5</v>
      </c>
      <c r="F15" s="13" t="n">
        <v>10.99</v>
      </c>
      <c r="G15" s="12" t="s">
        <v>54</v>
      </c>
      <c r="H15" s="14" t="n">
        <v>1</v>
      </c>
      <c r="I15" s="13" t="n">
        <v>14.69</v>
      </c>
      <c r="J15" s="12" t="s">
        <v>54</v>
      </c>
      <c r="K15" s="14" t="n">
        <v>1</v>
      </c>
      <c r="L15" s="15" t="s">
        <v>55</v>
      </c>
      <c r="M15" s="16" t="n">
        <f aca="false">IF($L15="Y",Q15/R15-1,"")</f>
        <v>-0.545040946314832</v>
      </c>
      <c r="N15" s="16" t="n">
        <f aca="false">IF($L15="Y",Q15/S15-1,"")</f>
        <v>-0.659632402995235</v>
      </c>
      <c r="O15" s="16" t="n">
        <f aca="false">IF($L15="Y",R15/S15-1,"")</f>
        <v>-0.251872021783526</v>
      </c>
      <c r="P15" s="11" t="str">
        <f aca="false">IF($L15="Y",IF(Q15&lt;=MIN(R15,S15),"Food First",IF(R15&lt;=S15,"Supermarket A","Supermarket B")),"Excluded")</f>
        <v>Food First</v>
      </c>
      <c r="Q15" s="17" t="n">
        <f aca="false">E15</f>
        <v>5</v>
      </c>
      <c r="R15" s="17" t="n">
        <f aca="false">F15/H15</f>
        <v>10.99</v>
      </c>
      <c r="S15" s="17" t="n">
        <f aca="false">I15/K15</f>
        <v>14.69</v>
      </c>
      <c r="T15" s="18"/>
    </row>
    <row r="16" customFormat="false" ht="15" hidden="false" customHeight="false" outlineLevel="0" collapsed="false">
      <c r="A16" s="11" t="n">
        <v>12</v>
      </c>
      <c r="B16" s="12" t="s">
        <v>52</v>
      </c>
      <c r="C16" s="12" t="s">
        <v>71</v>
      </c>
      <c r="D16" s="12" t="s">
        <v>54</v>
      </c>
      <c r="E16" s="13" t="n">
        <v>6.5</v>
      </c>
      <c r="F16" s="13" t="n">
        <v>13.82</v>
      </c>
      <c r="G16" s="12" t="s">
        <v>54</v>
      </c>
      <c r="H16" s="14" t="n">
        <v>1</v>
      </c>
      <c r="I16" s="13" t="n">
        <v>3.89</v>
      </c>
      <c r="J16" s="12" t="s">
        <v>72</v>
      </c>
      <c r="K16" s="14" t="n">
        <v>0.4536</v>
      </c>
      <c r="L16" s="15" t="s">
        <v>55</v>
      </c>
      <c r="M16" s="16" t="n">
        <f aca="false">IF($L16="Y",Q16/R16-1,"")</f>
        <v>-0.529667149059334</v>
      </c>
      <c r="N16" s="16" t="n">
        <f aca="false">IF($L16="Y",Q16/S16-1,"")</f>
        <v>-0.242056555269923</v>
      </c>
      <c r="O16" s="16" t="n">
        <f aca="false">IF($L16="Y",R16/S16-1,"")</f>
        <v>0.611504370179949</v>
      </c>
      <c r="P16" s="11" t="str">
        <f aca="false">IF($L16="Y",IF(Q16&lt;=MIN(R16,S16),"Food First",IF(R16&lt;=S16,"Supermarket A","Supermarket B")),"Excluded")</f>
        <v>Food First</v>
      </c>
      <c r="Q16" s="17" t="n">
        <f aca="false">E16</f>
        <v>6.5</v>
      </c>
      <c r="R16" s="17" t="n">
        <f aca="false">F16/H16</f>
        <v>13.82</v>
      </c>
      <c r="S16" s="17" t="n">
        <f aca="false">I16/K16</f>
        <v>8.57583774250441</v>
      </c>
      <c r="T16" s="18" t="s">
        <v>73</v>
      </c>
    </row>
    <row r="17" customFormat="false" ht="22.35" hidden="false" customHeight="false" outlineLevel="0" collapsed="false">
      <c r="A17" s="19" t="n">
        <v>13</v>
      </c>
      <c r="B17" s="20" t="s">
        <v>52</v>
      </c>
      <c r="C17" s="20" t="s">
        <v>74</v>
      </c>
      <c r="D17" s="20" t="s">
        <v>75</v>
      </c>
      <c r="E17" s="21" t="n">
        <v>16.85</v>
      </c>
      <c r="F17" s="21" t="n">
        <v>13.75</v>
      </c>
      <c r="G17" s="20" t="s">
        <v>76</v>
      </c>
      <c r="H17" s="22" t="n">
        <v>1</v>
      </c>
      <c r="I17" s="21" t="n">
        <v>10.99</v>
      </c>
      <c r="J17" s="20" t="s">
        <v>77</v>
      </c>
      <c r="K17" s="22" t="n">
        <v>1</v>
      </c>
      <c r="L17" s="23" t="s">
        <v>78</v>
      </c>
      <c r="M17" s="24" t="str">
        <f aca="false">IF($L17="Y",Q17/R17-1,"")</f>
        <v/>
      </c>
      <c r="N17" s="24" t="str">
        <f aca="false">IF($L17="Y",Q17/S17-1,"")</f>
        <v/>
      </c>
      <c r="O17" s="24" t="str">
        <f aca="false">IF($L17="Y",R17/S17-1,"")</f>
        <v/>
      </c>
      <c r="P17" s="19" t="str">
        <f aca="false">IF($L17="Y",IF(Q17&lt;=MIN(R17,S17),"Food First",IF(R17&lt;=S17,"Supermarket A","Supermarket B")),"Excluded")</f>
        <v>Excluded</v>
      </c>
      <c r="Q17" s="25" t="n">
        <f aca="false">E17</f>
        <v>16.85</v>
      </c>
      <c r="R17" s="25" t="n">
        <f aca="false">F17/H17</f>
        <v>13.75</v>
      </c>
      <c r="S17" s="25" t="n">
        <f aca="false">I17/K17</f>
        <v>10.99</v>
      </c>
      <c r="T17" s="26" t="s">
        <v>79</v>
      </c>
    </row>
    <row r="18" customFormat="false" ht="15" hidden="false" customHeight="false" outlineLevel="0" collapsed="false">
      <c r="A18" s="11" t="n">
        <v>14</v>
      </c>
      <c r="B18" s="12" t="s">
        <v>80</v>
      </c>
      <c r="C18" s="12" t="s">
        <v>81</v>
      </c>
      <c r="D18" s="12" t="s">
        <v>54</v>
      </c>
      <c r="E18" s="13" t="n">
        <v>14.3</v>
      </c>
      <c r="F18" s="13" t="n">
        <v>15.99</v>
      </c>
      <c r="G18" s="12" t="s">
        <v>54</v>
      </c>
      <c r="H18" s="14" t="n">
        <v>1</v>
      </c>
      <c r="I18" s="13" t="n">
        <v>14.99</v>
      </c>
      <c r="J18" s="12" t="s">
        <v>54</v>
      </c>
      <c r="K18" s="14" t="n">
        <v>1</v>
      </c>
      <c r="L18" s="15" t="s">
        <v>55</v>
      </c>
      <c r="M18" s="16" t="n">
        <f aca="false">IF($L18="Y",Q18/R18-1,"")</f>
        <v>-0.105691056910569</v>
      </c>
      <c r="N18" s="16" t="n">
        <f aca="false">IF($L18="Y",Q18/S18-1,"")</f>
        <v>-0.0460306871247498</v>
      </c>
      <c r="O18" s="16" t="n">
        <f aca="false">IF($L18="Y",R18/S18-1,"")</f>
        <v>0.066711140760507</v>
      </c>
      <c r="P18" s="11" t="str">
        <f aca="false">IF($L18="Y",IF(Q18&lt;=MIN(R18,S18),"Food First",IF(R18&lt;=S18,"Supermarket A","Supermarket B")),"Excluded")</f>
        <v>Food First</v>
      </c>
      <c r="Q18" s="17" t="n">
        <f aca="false">E18</f>
        <v>14.3</v>
      </c>
      <c r="R18" s="17" t="n">
        <f aca="false">F18/H18</f>
        <v>15.99</v>
      </c>
      <c r="S18" s="17" t="n">
        <f aca="false">I18/K18</f>
        <v>14.99</v>
      </c>
      <c r="T18" s="18"/>
    </row>
    <row r="19" customFormat="false" ht="15" hidden="false" customHeight="false" outlineLevel="0" collapsed="false">
      <c r="A19" s="11" t="n">
        <v>15</v>
      </c>
      <c r="B19" s="12" t="s">
        <v>80</v>
      </c>
      <c r="C19" s="12" t="s">
        <v>82</v>
      </c>
      <c r="D19" s="12" t="s">
        <v>83</v>
      </c>
      <c r="E19" s="13" t="n">
        <v>1</v>
      </c>
      <c r="F19" s="13" t="n">
        <v>0.599</v>
      </c>
      <c r="G19" s="12" t="s">
        <v>84</v>
      </c>
      <c r="H19" s="14" t="n">
        <v>1</v>
      </c>
      <c r="I19" s="13" t="n">
        <v>0.69</v>
      </c>
      <c r="J19" s="12" t="s">
        <v>84</v>
      </c>
      <c r="K19" s="14" t="n">
        <v>1</v>
      </c>
      <c r="L19" s="15" t="s">
        <v>55</v>
      </c>
      <c r="M19" s="16" t="n">
        <f aca="false">IF($L19="Y",Q19/R19-1,"")</f>
        <v>0.669449081803005</v>
      </c>
      <c r="N19" s="16" t="n">
        <f aca="false">IF($L19="Y",Q19/S19-1,"")</f>
        <v>0.449275362318841</v>
      </c>
      <c r="O19" s="16" t="n">
        <f aca="false">IF($L19="Y",R19/S19-1,"")</f>
        <v>-0.131884057971014</v>
      </c>
      <c r="P19" s="11" t="str">
        <f aca="false">IF($L19="Y",IF(Q19&lt;=MIN(R19,S19),"Food First",IF(R19&lt;=S19,"Supermarket A","Supermarket B")),"Excluded")</f>
        <v>Supermarket A</v>
      </c>
      <c r="Q19" s="17" t="n">
        <f aca="false">E19</f>
        <v>1</v>
      </c>
      <c r="R19" s="17" t="n">
        <f aca="false">F19/H19</f>
        <v>0.599</v>
      </c>
      <c r="S19" s="17" t="n">
        <f aca="false">I19/K19</f>
        <v>0.69</v>
      </c>
      <c r="T19" s="18"/>
    </row>
    <row r="20" customFormat="false" ht="15" hidden="false" customHeight="false" outlineLevel="0" collapsed="false">
      <c r="A20" s="11" t="n">
        <v>16</v>
      </c>
      <c r="B20" s="12" t="s">
        <v>80</v>
      </c>
      <c r="C20" s="12" t="s">
        <v>85</v>
      </c>
      <c r="D20" s="12" t="s">
        <v>83</v>
      </c>
      <c r="E20" s="13" t="n">
        <v>1.2</v>
      </c>
      <c r="F20" s="13" t="n">
        <v>1.99</v>
      </c>
      <c r="G20" s="12" t="s">
        <v>84</v>
      </c>
      <c r="H20" s="14" t="n">
        <v>1</v>
      </c>
      <c r="I20" s="13" t="n">
        <v>1.49</v>
      </c>
      <c r="J20" s="12" t="s">
        <v>84</v>
      </c>
      <c r="K20" s="14" t="n">
        <v>1</v>
      </c>
      <c r="L20" s="15" t="s">
        <v>55</v>
      </c>
      <c r="M20" s="16" t="n">
        <f aca="false">IF($L20="Y",Q20/R20-1,"")</f>
        <v>-0.396984924623116</v>
      </c>
      <c r="N20" s="16" t="n">
        <f aca="false">IF($L20="Y",Q20/S20-1,"")</f>
        <v>-0.194630872483222</v>
      </c>
      <c r="O20" s="16" t="n">
        <f aca="false">IF($L20="Y",R20/S20-1,"")</f>
        <v>0.335570469798658</v>
      </c>
      <c r="P20" s="11" t="str">
        <f aca="false">IF($L20="Y",IF(Q20&lt;=MIN(R20,S20),"Food First",IF(R20&lt;=S20,"Supermarket A","Supermarket B")),"Excluded")</f>
        <v>Food First</v>
      </c>
      <c r="Q20" s="17" t="n">
        <f aca="false">E20</f>
        <v>1.2</v>
      </c>
      <c r="R20" s="17" t="n">
        <f aca="false">F20/H20</f>
        <v>1.99</v>
      </c>
      <c r="S20" s="17" t="n">
        <f aca="false">I20/K20</f>
        <v>1.49</v>
      </c>
      <c r="T20" s="18"/>
    </row>
    <row r="21" customFormat="false" ht="15" hidden="false" customHeight="false" outlineLevel="0" collapsed="false">
      <c r="A21" s="11" t="n">
        <v>17</v>
      </c>
      <c r="B21" s="12" t="s">
        <v>80</v>
      </c>
      <c r="C21" s="12" t="s">
        <v>86</v>
      </c>
      <c r="D21" s="12" t="s">
        <v>83</v>
      </c>
      <c r="E21" s="13" t="n">
        <v>1</v>
      </c>
      <c r="F21" s="13" t="n">
        <v>1.49</v>
      </c>
      <c r="G21" s="12" t="s">
        <v>84</v>
      </c>
      <c r="H21" s="14" t="n">
        <v>1</v>
      </c>
      <c r="I21" s="13" t="n">
        <v>1.59</v>
      </c>
      <c r="J21" s="12" t="s">
        <v>84</v>
      </c>
      <c r="K21" s="14" t="n">
        <v>1</v>
      </c>
      <c r="L21" s="15" t="s">
        <v>55</v>
      </c>
      <c r="M21" s="16" t="n">
        <f aca="false">IF($L21="Y",Q21/R21-1,"")</f>
        <v>-0.328859060402685</v>
      </c>
      <c r="N21" s="16" t="n">
        <f aca="false">IF($L21="Y",Q21/S21-1,"")</f>
        <v>-0.371069182389937</v>
      </c>
      <c r="O21" s="16" t="n">
        <f aca="false">IF($L21="Y",R21/S21-1,"")</f>
        <v>-0.0628930817610064</v>
      </c>
      <c r="P21" s="11" t="str">
        <f aca="false">IF($L21="Y",IF(Q21&lt;=MIN(R21,S21),"Food First",IF(R21&lt;=S21,"Supermarket A","Supermarket B")),"Excluded")</f>
        <v>Food First</v>
      </c>
      <c r="Q21" s="17" t="n">
        <f aca="false">E21</f>
        <v>1</v>
      </c>
      <c r="R21" s="17" t="n">
        <f aca="false">F21/H21</f>
        <v>1.49</v>
      </c>
      <c r="S21" s="17" t="n">
        <f aca="false">I21/K21</f>
        <v>1.59</v>
      </c>
      <c r="T21" s="18"/>
    </row>
    <row r="22" customFormat="false" ht="15" hidden="false" customHeight="false" outlineLevel="0" collapsed="false">
      <c r="A22" s="11" t="n">
        <v>18</v>
      </c>
      <c r="B22" s="12" t="s">
        <v>80</v>
      </c>
      <c r="C22" s="12" t="s">
        <v>87</v>
      </c>
      <c r="D22" s="12" t="s">
        <v>54</v>
      </c>
      <c r="E22" s="13" t="n">
        <v>16.7</v>
      </c>
      <c r="F22" s="13" t="n">
        <v>16.99</v>
      </c>
      <c r="G22" s="12" t="s">
        <v>54</v>
      </c>
      <c r="H22" s="14" t="n">
        <v>1</v>
      </c>
      <c r="I22" s="13" t="n">
        <v>18.99</v>
      </c>
      <c r="J22" s="12" t="s">
        <v>54</v>
      </c>
      <c r="K22" s="14" t="n">
        <v>1</v>
      </c>
      <c r="L22" s="15" t="s">
        <v>55</v>
      </c>
      <c r="M22" s="16" t="n">
        <f aca="false">IF($L22="Y",Q22/R22-1,"")</f>
        <v>-0.0170688640376692</v>
      </c>
      <c r="N22" s="16" t="n">
        <f aca="false">IF($L22="Y",Q22/S22-1,"")</f>
        <v>-0.120589784096893</v>
      </c>
      <c r="O22" s="16" t="n">
        <f aca="false">IF($L22="Y",R22/S22-1,"")</f>
        <v>-0.105318588730911</v>
      </c>
      <c r="P22" s="11" t="str">
        <f aca="false">IF($L22="Y",IF(Q22&lt;=MIN(R22,S22),"Food First",IF(R22&lt;=S22,"Supermarket A","Supermarket B")),"Excluded")</f>
        <v>Food First</v>
      </c>
      <c r="Q22" s="17" t="n">
        <f aca="false">E22</f>
        <v>16.7</v>
      </c>
      <c r="R22" s="17" t="n">
        <f aca="false">F22/H22</f>
        <v>16.99</v>
      </c>
      <c r="S22" s="17" t="n">
        <f aca="false">I22/K22</f>
        <v>18.99</v>
      </c>
      <c r="T22" s="18"/>
    </row>
    <row r="23" customFormat="false" ht="15" hidden="false" customHeight="false" outlineLevel="0" collapsed="false">
      <c r="A23" s="11" t="n">
        <v>19</v>
      </c>
      <c r="B23" s="12" t="s">
        <v>80</v>
      </c>
      <c r="C23" s="12" t="s">
        <v>88</v>
      </c>
      <c r="D23" s="12" t="s">
        <v>54</v>
      </c>
      <c r="E23" s="13" t="n">
        <v>16.7</v>
      </c>
      <c r="F23" s="13" t="n">
        <v>16.88</v>
      </c>
      <c r="G23" s="12" t="s">
        <v>54</v>
      </c>
      <c r="H23" s="14" t="n">
        <v>1</v>
      </c>
      <c r="I23" s="13" t="n">
        <v>20.59</v>
      </c>
      <c r="J23" s="12" t="s">
        <v>54</v>
      </c>
      <c r="K23" s="14" t="n">
        <v>1</v>
      </c>
      <c r="L23" s="15" t="s">
        <v>55</v>
      </c>
      <c r="M23" s="16" t="n">
        <f aca="false">IF($L23="Y",Q23/R23-1,"")</f>
        <v>-0.0106635071090048</v>
      </c>
      <c r="N23" s="16" t="n">
        <f aca="false">IF($L23="Y",Q23/S23-1,"")</f>
        <v>-0.188926663428849</v>
      </c>
      <c r="O23" s="16" t="n">
        <f aca="false">IF($L23="Y",R23/S23-1,"")</f>
        <v>-0.180184555609519</v>
      </c>
      <c r="P23" s="11" t="str">
        <f aca="false">IF($L23="Y",IF(Q23&lt;=MIN(R23,S23),"Food First",IF(R23&lt;=S23,"Supermarket A","Supermarket B")),"Excluded")</f>
        <v>Food First</v>
      </c>
      <c r="Q23" s="17" t="n">
        <f aca="false">E23</f>
        <v>16.7</v>
      </c>
      <c r="R23" s="17" t="n">
        <f aca="false">F23/H23</f>
        <v>16.88</v>
      </c>
      <c r="S23" s="17" t="n">
        <f aca="false">I23/K23</f>
        <v>20.59</v>
      </c>
      <c r="T23" s="18"/>
    </row>
    <row r="24" customFormat="false" ht="15" hidden="false" customHeight="false" outlineLevel="0" collapsed="false">
      <c r="A24" s="11" t="n">
        <v>20</v>
      </c>
      <c r="B24" s="12" t="s">
        <v>80</v>
      </c>
      <c r="C24" s="12" t="s">
        <v>89</v>
      </c>
      <c r="D24" s="12" t="s">
        <v>90</v>
      </c>
      <c r="E24" s="13" t="n">
        <v>12.88</v>
      </c>
      <c r="F24" s="13" t="n">
        <v>12.99</v>
      </c>
      <c r="G24" s="12" t="s">
        <v>91</v>
      </c>
      <c r="H24" s="14" t="n">
        <v>1</v>
      </c>
      <c r="I24" s="13" t="n">
        <v>18.49</v>
      </c>
      <c r="J24" s="12" t="s">
        <v>91</v>
      </c>
      <c r="K24" s="14" t="n">
        <v>1</v>
      </c>
      <c r="L24" s="15" t="s">
        <v>55</v>
      </c>
      <c r="M24" s="16" t="n">
        <f aca="false">IF($L24="Y",Q24/R24-1,"")</f>
        <v>-0.00846805234795989</v>
      </c>
      <c r="N24" s="16" t="n">
        <f aca="false">IF($L24="Y",Q24/S24-1,"")</f>
        <v>-0.303407247160627</v>
      </c>
      <c r="O24" s="16" t="n">
        <f aca="false">IF($L24="Y",R24/S24-1,"")</f>
        <v>-0.297458085451595</v>
      </c>
      <c r="P24" s="11" t="str">
        <f aca="false">IF($L24="Y",IF(Q24&lt;=MIN(R24,S24),"Food First",IF(R24&lt;=S24,"Supermarket A","Supermarket B")),"Excluded")</f>
        <v>Food First</v>
      </c>
      <c r="Q24" s="17" t="n">
        <f aca="false">E24</f>
        <v>12.88</v>
      </c>
      <c r="R24" s="17" t="n">
        <f aca="false">F24/H24</f>
        <v>12.99</v>
      </c>
      <c r="S24" s="17" t="n">
        <f aca="false">I24/K24</f>
        <v>18.49</v>
      </c>
      <c r="T24" s="18" t="s">
        <v>92</v>
      </c>
    </row>
    <row r="25" customFormat="false" ht="22.35" hidden="false" customHeight="false" outlineLevel="0" collapsed="false">
      <c r="A25" s="19" t="n">
        <v>21</v>
      </c>
      <c r="B25" s="20" t="s">
        <v>80</v>
      </c>
      <c r="C25" s="20" t="s">
        <v>93</v>
      </c>
      <c r="D25" s="20" t="s">
        <v>54</v>
      </c>
      <c r="E25" s="21" t="n">
        <v>16.65</v>
      </c>
      <c r="F25" s="21" t="n">
        <v>10.99</v>
      </c>
      <c r="G25" s="20" t="s">
        <v>94</v>
      </c>
      <c r="H25" s="22" t="n">
        <v>0.17</v>
      </c>
      <c r="I25" s="21" t="n">
        <v>11.99</v>
      </c>
      <c r="J25" s="20" t="s">
        <v>94</v>
      </c>
      <c r="K25" s="22" t="n">
        <v>0.17</v>
      </c>
      <c r="L25" s="23" t="s">
        <v>78</v>
      </c>
      <c r="M25" s="24" t="str">
        <f aca="false">IF($L25="Y",Q25/R25-1,"")</f>
        <v/>
      </c>
      <c r="N25" s="24" t="str">
        <f aca="false">IF($L25="Y",Q25/S25-1,"")</f>
        <v/>
      </c>
      <c r="O25" s="24" t="str">
        <f aca="false">IF($L25="Y",R25/S25-1,"")</f>
        <v/>
      </c>
      <c r="P25" s="19" t="str">
        <f aca="false">IF($L25="Y",IF(Q25&lt;=MIN(R25,S25),"Food First",IF(R25&lt;=S25,"Supermarket A","Supermarket B")),"Excluded")</f>
        <v>Excluded</v>
      </c>
      <c r="Q25" s="25" t="n">
        <f aca="false">E25</f>
        <v>16.65</v>
      </c>
      <c r="R25" s="25" t="n">
        <f aca="false">F25/H25</f>
        <v>64.6470588235294</v>
      </c>
      <c r="S25" s="25" t="n">
        <f aca="false">I25/K25</f>
        <v>70.5294117647059</v>
      </c>
      <c r="T25" s="26" t="s">
        <v>95</v>
      </c>
    </row>
    <row r="26" customFormat="false" ht="15" hidden="false" customHeight="false" outlineLevel="0" collapsed="false">
      <c r="A26" s="11" t="n">
        <v>22</v>
      </c>
      <c r="B26" s="12" t="s">
        <v>80</v>
      </c>
      <c r="C26" s="12" t="s">
        <v>96</v>
      </c>
      <c r="D26" s="12" t="s">
        <v>54</v>
      </c>
      <c r="E26" s="13" t="n">
        <v>63.8</v>
      </c>
      <c r="F26" s="13" t="n">
        <v>9.99</v>
      </c>
      <c r="G26" s="12" t="s">
        <v>94</v>
      </c>
      <c r="H26" s="14" t="n">
        <v>0.17</v>
      </c>
      <c r="I26" s="13" t="n">
        <v>10.99</v>
      </c>
      <c r="J26" s="12" t="s">
        <v>97</v>
      </c>
      <c r="K26" s="14" t="n">
        <v>0.3402</v>
      </c>
      <c r="L26" s="15" t="s">
        <v>55</v>
      </c>
      <c r="M26" s="16" t="n">
        <f aca="false">IF($L26="Y",Q26/R26-1,"")</f>
        <v>0.0856856856856858</v>
      </c>
      <c r="N26" s="16" t="n">
        <f aca="false">IF($L26="Y",Q26/S26-1,"")</f>
        <v>0.974955414012739</v>
      </c>
      <c r="O26" s="16" t="n">
        <f aca="false">IF($L26="Y",R26/S26-1,"")</f>
        <v>0.819085799925065</v>
      </c>
      <c r="P26" s="11" t="str">
        <f aca="false">IF($L26="Y",IF(Q26&lt;=MIN(R26,S26),"Food First",IF(R26&lt;=S26,"Supermarket A","Supermarket B")),"Excluded")</f>
        <v>Supermarket B</v>
      </c>
      <c r="Q26" s="17" t="n">
        <f aca="false">E26</f>
        <v>63.8</v>
      </c>
      <c r="R26" s="17" t="n">
        <f aca="false">F26/H26</f>
        <v>58.7647058823529</v>
      </c>
      <c r="S26" s="17" t="n">
        <f aca="false">I26/K26</f>
        <v>32.3045267489712</v>
      </c>
      <c r="T26" s="18" t="s">
        <v>98</v>
      </c>
    </row>
    <row r="27" customFormat="false" ht="15" hidden="false" customHeight="false" outlineLevel="0" collapsed="false">
      <c r="A27" s="19" t="n">
        <v>23</v>
      </c>
      <c r="B27" s="20" t="s">
        <v>80</v>
      </c>
      <c r="C27" s="20" t="s">
        <v>99</v>
      </c>
      <c r="D27" s="20" t="s">
        <v>100</v>
      </c>
      <c r="E27" s="21" t="n">
        <v>8.88</v>
      </c>
      <c r="F27" s="21" t="n">
        <v>26.99</v>
      </c>
      <c r="G27" s="20" t="s">
        <v>54</v>
      </c>
      <c r="H27" s="22" t="n">
        <v>1</v>
      </c>
      <c r="I27" s="21" t="n">
        <v>29.05</v>
      </c>
      <c r="J27" s="20" t="s">
        <v>54</v>
      </c>
      <c r="K27" s="22" t="n">
        <v>1</v>
      </c>
      <c r="L27" s="23" t="s">
        <v>78</v>
      </c>
      <c r="M27" s="24" t="str">
        <f aca="false">IF($L27="Y",Q27/R27-1,"")</f>
        <v/>
      </c>
      <c r="N27" s="24" t="str">
        <f aca="false">IF($L27="Y",Q27/S27-1,"")</f>
        <v/>
      </c>
      <c r="O27" s="24" t="str">
        <f aca="false">IF($L27="Y",R27/S27-1,"")</f>
        <v/>
      </c>
      <c r="P27" s="19" t="str">
        <f aca="false">IF($L27="Y",IF(Q27&lt;=MIN(R27,S27),"Food First",IF(R27&lt;=S27,"Supermarket A","Supermarket B")),"Excluded")</f>
        <v>Excluded</v>
      </c>
      <c r="Q27" s="25" t="n">
        <f aca="false">E27</f>
        <v>8.88</v>
      </c>
      <c r="R27" s="25" t="n">
        <f aca="false">F27/H27</f>
        <v>26.99</v>
      </c>
      <c r="S27" s="25" t="n">
        <f aca="false">I27/K27</f>
        <v>29.05</v>
      </c>
      <c r="T27" s="26" t="s">
        <v>101</v>
      </c>
    </row>
    <row r="28" customFormat="false" ht="15" hidden="false" customHeight="false" outlineLevel="0" collapsed="false">
      <c r="A28" s="11" t="n">
        <v>24</v>
      </c>
      <c r="B28" s="12" t="s">
        <v>80</v>
      </c>
      <c r="C28" s="12" t="s">
        <v>102</v>
      </c>
      <c r="D28" s="12" t="s">
        <v>83</v>
      </c>
      <c r="E28" s="13" t="n">
        <v>10</v>
      </c>
      <c r="F28" s="13" t="n">
        <v>10.99</v>
      </c>
      <c r="G28" s="12" t="s">
        <v>84</v>
      </c>
      <c r="H28" s="14" t="n">
        <v>1</v>
      </c>
      <c r="I28" s="13" t="n">
        <v>15.99</v>
      </c>
      <c r="J28" s="12" t="s">
        <v>84</v>
      </c>
      <c r="K28" s="14" t="n">
        <v>1</v>
      </c>
      <c r="L28" s="15" t="s">
        <v>55</v>
      </c>
      <c r="M28" s="16" t="n">
        <f aca="false">IF($L28="Y",Q28/R28-1,"")</f>
        <v>-0.0900818926296634</v>
      </c>
      <c r="N28" s="16" t="n">
        <f aca="false">IF($L28="Y",Q28/S28-1,"")</f>
        <v>-0.374609130706692</v>
      </c>
      <c r="O28" s="16" t="n">
        <f aca="false">IF($L28="Y",R28/S28-1,"")</f>
        <v>-0.312695434646654</v>
      </c>
      <c r="P28" s="11" t="str">
        <f aca="false">IF($L28="Y",IF(Q28&lt;=MIN(R28,S28),"Food First",IF(R28&lt;=S28,"Supermarket A","Supermarket B")),"Excluded")</f>
        <v>Food First</v>
      </c>
      <c r="Q28" s="17" t="n">
        <f aca="false">E28</f>
        <v>10</v>
      </c>
      <c r="R28" s="17" t="n">
        <f aca="false">F28/H28</f>
        <v>10.99</v>
      </c>
      <c r="S28" s="17" t="n">
        <f aca="false">I28/K28</f>
        <v>15.99</v>
      </c>
      <c r="T28" s="18"/>
    </row>
    <row r="29" customFormat="false" ht="15" hidden="false" customHeight="false" outlineLevel="0" collapsed="false">
      <c r="A29" s="11" t="n">
        <v>25</v>
      </c>
      <c r="B29" s="12" t="s">
        <v>80</v>
      </c>
      <c r="C29" s="12" t="s">
        <v>103</v>
      </c>
      <c r="D29" s="12" t="s">
        <v>83</v>
      </c>
      <c r="E29" s="13" t="n">
        <v>0.9</v>
      </c>
      <c r="F29" s="13" t="n">
        <v>2.99</v>
      </c>
      <c r="G29" s="12" t="s">
        <v>84</v>
      </c>
      <c r="H29" s="14" t="n">
        <v>1</v>
      </c>
      <c r="I29" s="13" t="n">
        <v>1.49</v>
      </c>
      <c r="J29" s="12" t="s">
        <v>84</v>
      </c>
      <c r="K29" s="14" t="n">
        <v>1</v>
      </c>
      <c r="L29" s="15" t="s">
        <v>55</v>
      </c>
      <c r="M29" s="16" t="n">
        <f aca="false">IF($L29="Y",Q29/R29-1,"")</f>
        <v>-0.698996655518395</v>
      </c>
      <c r="N29" s="16" t="n">
        <f aca="false">IF($L29="Y",Q29/S29-1,"")</f>
        <v>-0.395973154362416</v>
      </c>
      <c r="O29" s="16" t="n">
        <f aca="false">IF($L29="Y",R29/S29-1,"")</f>
        <v>1.00671140939597</v>
      </c>
      <c r="P29" s="11" t="str">
        <f aca="false">IF($L29="Y",IF(Q29&lt;=MIN(R29,S29),"Food First",IF(R29&lt;=S29,"Supermarket A","Supermarket B")),"Excluded")</f>
        <v>Food First</v>
      </c>
      <c r="Q29" s="17" t="n">
        <f aca="false">E29</f>
        <v>0.9</v>
      </c>
      <c r="R29" s="17" t="n">
        <f aca="false">F29/H29</f>
        <v>2.99</v>
      </c>
      <c r="S29" s="17" t="n">
        <f aca="false">I29/K29</f>
        <v>1.49</v>
      </c>
      <c r="T29" s="18"/>
    </row>
    <row r="30" customFormat="false" ht="15" hidden="false" customHeight="false" outlineLevel="0" collapsed="false">
      <c r="A30" s="11" t="n">
        <v>26</v>
      </c>
      <c r="B30" s="12" t="s">
        <v>80</v>
      </c>
      <c r="C30" s="12" t="s">
        <v>104</v>
      </c>
      <c r="D30" s="12" t="s">
        <v>83</v>
      </c>
      <c r="E30" s="13" t="n">
        <v>1.99</v>
      </c>
      <c r="F30" s="13" t="n">
        <v>1.69</v>
      </c>
      <c r="G30" s="12" t="s">
        <v>84</v>
      </c>
      <c r="H30" s="14" t="n">
        <v>1</v>
      </c>
      <c r="I30" s="13" t="n">
        <v>1.99</v>
      </c>
      <c r="J30" s="12" t="s">
        <v>84</v>
      </c>
      <c r="K30" s="14" t="n">
        <v>1</v>
      </c>
      <c r="L30" s="15" t="s">
        <v>55</v>
      </c>
      <c r="M30" s="16" t="n">
        <f aca="false">IF($L30="Y",Q30/R30-1,"")</f>
        <v>0.177514792899408</v>
      </c>
      <c r="N30" s="16" t="n">
        <f aca="false">IF($L30="Y",Q30/S30-1,"")</f>
        <v>0</v>
      </c>
      <c r="O30" s="16" t="n">
        <f aca="false">IF($L30="Y",R30/S30-1,"")</f>
        <v>-0.150753768844221</v>
      </c>
      <c r="P30" s="11" t="str">
        <f aca="false">IF($L30="Y",IF(Q30&lt;=MIN(R30,S30),"Food First",IF(R30&lt;=S30,"Supermarket A","Supermarket B")),"Excluded")</f>
        <v>Supermarket A</v>
      </c>
      <c r="Q30" s="17" t="n">
        <f aca="false">E30</f>
        <v>1.99</v>
      </c>
      <c r="R30" s="17" t="n">
        <f aca="false">F30/H30</f>
        <v>1.69</v>
      </c>
      <c r="S30" s="17" t="n">
        <f aca="false">I30/K30</f>
        <v>1.99</v>
      </c>
      <c r="T30" s="18"/>
    </row>
    <row r="31" customFormat="false" ht="15" hidden="false" customHeight="false" outlineLevel="0" collapsed="false">
      <c r="A31" s="11" t="n">
        <v>27</v>
      </c>
      <c r="B31" s="12" t="s">
        <v>80</v>
      </c>
      <c r="C31" s="12" t="s">
        <v>105</v>
      </c>
      <c r="D31" s="12" t="s">
        <v>83</v>
      </c>
      <c r="E31" s="13" t="n">
        <v>1</v>
      </c>
      <c r="F31" s="13" t="n">
        <v>11.99</v>
      </c>
      <c r="G31" s="12" t="s">
        <v>106</v>
      </c>
      <c r="H31" s="14" t="n">
        <v>10</v>
      </c>
      <c r="I31" s="13" t="n">
        <v>1.29</v>
      </c>
      <c r="J31" s="12" t="s">
        <v>84</v>
      </c>
      <c r="K31" s="14" t="n">
        <v>1</v>
      </c>
      <c r="L31" s="15" t="s">
        <v>55</v>
      </c>
      <c r="M31" s="16" t="n">
        <f aca="false">IF($L31="Y",Q31/R31-1,"")</f>
        <v>-0.165971643035863</v>
      </c>
      <c r="N31" s="16" t="n">
        <f aca="false">IF($L31="Y",Q31/S31-1,"")</f>
        <v>-0.224806201550388</v>
      </c>
      <c r="O31" s="16" t="n">
        <f aca="false">IF($L31="Y",R31/S31-1,"")</f>
        <v>-0.0705426356589147</v>
      </c>
      <c r="P31" s="11" t="str">
        <f aca="false">IF($L31="Y",IF(Q31&lt;=MIN(R31,S31),"Food First",IF(R31&lt;=S31,"Supermarket A","Supermarket B")),"Excluded")</f>
        <v>Food First</v>
      </c>
      <c r="Q31" s="17" t="n">
        <f aca="false">E31</f>
        <v>1</v>
      </c>
      <c r="R31" s="17" t="n">
        <f aca="false">F31/H31</f>
        <v>1.199</v>
      </c>
      <c r="S31" s="17" t="n">
        <f aca="false">I31/K31</f>
        <v>1.29</v>
      </c>
      <c r="T31" s="18" t="s">
        <v>107</v>
      </c>
    </row>
    <row r="32" customFormat="false" ht="22.35" hidden="false" customHeight="false" outlineLevel="0" collapsed="false">
      <c r="A32" s="11" t="n">
        <v>28</v>
      </c>
      <c r="B32" s="12" t="s">
        <v>80</v>
      </c>
      <c r="C32" s="12" t="s">
        <v>108</v>
      </c>
      <c r="D32" s="12" t="s">
        <v>83</v>
      </c>
      <c r="E32" s="13" t="n">
        <v>0.9</v>
      </c>
      <c r="F32" s="13" t="n">
        <v>9.68</v>
      </c>
      <c r="G32" s="12" t="s">
        <v>109</v>
      </c>
      <c r="H32" s="14" t="n">
        <v>10</v>
      </c>
      <c r="I32" s="13" t="n">
        <v>0.79</v>
      </c>
      <c r="J32" s="12" t="s">
        <v>84</v>
      </c>
      <c r="K32" s="14" t="n">
        <v>1</v>
      </c>
      <c r="L32" s="15" t="s">
        <v>55</v>
      </c>
      <c r="M32" s="16" t="n">
        <f aca="false">IF($L32="Y",Q32/R32-1,"")</f>
        <v>-0.0702479338842975</v>
      </c>
      <c r="N32" s="16" t="n">
        <f aca="false">IF($L32="Y",Q32/S32-1,"")</f>
        <v>0.139240506329114</v>
      </c>
      <c r="O32" s="16" t="n">
        <f aca="false">IF($L32="Y",R32/S32-1,"")</f>
        <v>0.225316455696202</v>
      </c>
      <c r="P32" s="11" t="str">
        <f aca="false">IF($L32="Y",IF(Q32&lt;=MIN(R32,S32),"Food First",IF(R32&lt;=S32,"Supermarket A","Supermarket B")),"Excluded")</f>
        <v>Supermarket B</v>
      </c>
      <c r="Q32" s="17" t="n">
        <f aca="false">E32</f>
        <v>0.9</v>
      </c>
      <c r="R32" s="17" t="n">
        <f aca="false">F32/H32</f>
        <v>0.968</v>
      </c>
      <c r="S32" s="17" t="n">
        <f aca="false">I32/K32</f>
        <v>0.79</v>
      </c>
      <c r="T32" s="18" t="s">
        <v>110</v>
      </c>
    </row>
    <row r="33" customFormat="false" ht="15" hidden="false" customHeight="false" outlineLevel="0" collapsed="false">
      <c r="A33" s="11" t="n">
        <v>29</v>
      </c>
      <c r="B33" s="12" t="s">
        <v>80</v>
      </c>
      <c r="C33" s="12" t="s">
        <v>111</v>
      </c>
      <c r="D33" s="12" t="s">
        <v>54</v>
      </c>
      <c r="E33" s="13" t="n">
        <v>15.5</v>
      </c>
      <c r="F33" s="13" t="n">
        <v>28.2</v>
      </c>
      <c r="G33" s="12" t="s">
        <v>54</v>
      </c>
      <c r="H33" s="14" t="n">
        <v>1</v>
      </c>
      <c r="I33" s="13" t="n">
        <v>12.69</v>
      </c>
      <c r="J33" s="12" t="s">
        <v>112</v>
      </c>
      <c r="K33" s="14" t="n">
        <v>0.34</v>
      </c>
      <c r="L33" s="15" t="s">
        <v>55</v>
      </c>
      <c r="M33" s="16" t="n">
        <f aca="false">IF($L33="Y",Q33/R33-1,"")</f>
        <v>-0.450354609929078</v>
      </c>
      <c r="N33" s="16" t="n">
        <f aca="false">IF($L33="Y",Q33/S33-1,"")</f>
        <v>-0.584712371946415</v>
      </c>
      <c r="O33" s="16" t="n">
        <f aca="false">IF($L33="Y",R33/S33-1,"")</f>
        <v>-0.244444444444444</v>
      </c>
      <c r="P33" s="11" t="str">
        <f aca="false">IF($L33="Y",IF(Q33&lt;=MIN(R33,S33),"Food First",IF(R33&lt;=S33,"Supermarket A","Supermarket B")),"Excluded")</f>
        <v>Food First</v>
      </c>
      <c r="Q33" s="17" t="n">
        <f aca="false">E33</f>
        <v>15.5</v>
      </c>
      <c r="R33" s="17" t="n">
        <f aca="false">F33/H33</f>
        <v>28.2</v>
      </c>
      <c r="S33" s="17" t="n">
        <f aca="false">I33/K33</f>
        <v>37.3235294117647</v>
      </c>
      <c r="T33" s="18" t="s">
        <v>113</v>
      </c>
    </row>
    <row r="34" customFormat="false" ht="15" hidden="false" customHeight="false" outlineLevel="0" collapsed="false">
      <c r="A34" s="11" t="n">
        <v>30</v>
      </c>
      <c r="B34" s="12" t="s">
        <v>80</v>
      </c>
      <c r="C34" s="12" t="s">
        <v>114</v>
      </c>
      <c r="D34" s="12" t="s">
        <v>54</v>
      </c>
      <c r="E34" s="13" t="n">
        <v>18.5</v>
      </c>
      <c r="F34" s="13" t="n">
        <v>17.99</v>
      </c>
      <c r="G34" s="12" t="s">
        <v>54</v>
      </c>
      <c r="H34" s="14" t="n">
        <v>1</v>
      </c>
      <c r="I34" s="13" t="n">
        <v>19.99</v>
      </c>
      <c r="J34" s="12" t="s">
        <v>54</v>
      </c>
      <c r="K34" s="14" t="n">
        <v>1</v>
      </c>
      <c r="L34" s="15" t="s">
        <v>55</v>
      </c>
      <c r="M34" s="16" t="n">
        <f aca="false">IF($L34="Y",Q34/R34-1,"")</f>
        <v>0.0283490828237911</v>
      </c>
      <c r="N34" s="16" t="n">
        <f aca="false">IF($L34="Y",Q34/S34-1,"")</f>
        <v>-0.0745372686343171</v>
      </c>
      <c r="O34" s="16" t="n">
        <f aca="false">IF($L34="Y",R34/S34-1,"")</f>
        <v>-0.100050025012506</v>
      </c>
      <c r="P34" s="11" t="str">
        <f aca="false">IF($L34="Y",IF(Q34&lt;=MIN(R34,S34),"Food First",IF(R34&lt;=S34,"Supermarket A","Supermarket B")),"Excluded")</f>
        <v>Supermarket A</v>
      </c>
      <c r="Q34" s="17" t="n">
        <f aca="false">E34</f>
        <v>18.5</v>
      </c>
      <c r="R34" s="17" t="n">
        <f aca="false">F34/H34</f>
        <v>17.99</v>
      </c>
      <c r="S34" s="17" t="n">
        <f aca="false">I34/K34</f>
        <v>19.99</v>
      </c>
      <c r="T34" s="18"/>
    </row>
    <row r="35" customFormat="false" ht="15" hidden="false" customHeight="false" outlineLevel="0" collapsed="false">
      <c r="A35" s="11" t="n">
        <v>31</v>
      </c>
      <c r="B35" s="12" t="s">
        <v>80</v>
      </c>
      <c r="C35" s="12" t="s">
        <v>115</v>
      </c>
      <c r="D35" s="12" t="s">
        <v>83</v>
      </c>
      <c r="E35" s="13" t="n">
        <v>3.3</v>
      </c>
      <c r="F35" s="13" t="n">
        <v>2.99</v>
      </c>
      <c r="G35" s="12" t="s">
        <v>84</v>
      </c>
      <c r="H35" s="14" t="n">
        <v>1</v>
      </c>
      <c r="I35" s="13" t="n">
        <v>3.29</v>
      </c>
      <c r="J35" s="12" t="s">
        <v>84</v>
      </c>
      <c r="K35" s="14" t="n">
        <v>1</v>
      </c>
      <c r="L35" s="15" t="s">
        <v>55</v>
      </c>
      <c r="M35" s="16" t="n">
        <f aca="false">IF($L35="Y",Q35/R35-1,"")</f>
        <v>0.103678929765886</v>
      </c>
      <c r="N35" s="16" t="n">
        <f aca="false">IF($L35="Y",Q35/S35-1,"")</f>
        <v>0.00303951367781141</v>
      </c>
      <c r="O35" s="16" t="n">
        <f aca="false">IF($L35="Y",R35/S35-1,"")</f>
        <v>-0.0911854103343465</v>
      </c>
      <c r="P35" s="11" t="str">
        <f aca="false">IF($L35="Y",IF(Q35&lt;=MIN(R35,S35),"Food First",IF(R35&lt;=S35,"Supermarket A","Supermarket B")),"Excluded")</f>
        <v>Supermarket A</v>
      </c>
      <c r="Q35" s="17" t="n">
        <f aca="false">E35</f>
        <v>3.3</v>
      </c>
      <c r="R35" s="17" t="n">
        <f aca="false">F35/H35</f>
        <v>2.99</v>
      </c>
      <c r="S35" s="17" t="n">
        <f aca="false">I35/K35</f>
        <v>3.29</v>
      </c>
      <c r="T35" s="18"/>
    </row>
    <row r="36" customFormat="false" ht="15" hidden="false" customHeight="false" outlineLevel="0" collapsed="false">
      <c r="A36" s="19" t="n">
        <v>32</v>
      </c>
      <c r="B36" s="20" t="s">
        <v>80</v>
      </c>
      <c r="C36" s="20" t="s">
        <v>116</v>
      </c>
      <c r="D36" s="20" t="s">
        <v>54</v>
      </c>
      <c r="E36" s="21" t="n">
        <v>8.7</v>
      </c>
      <c r="F36" s="21" t="n">
        <v>5.99</v>
      </c>
      <c r="G36" s="20" t="s">
        <v>117</v>
      </c>
      <c r="H36" s="22" t="n">
        <v>1</v>
      </c>
      <c r="I36" s="21" t="n">
        <v>7.99</v>
      </c>
      <c r="J36" s="20" t="s">
        <v>117</v>
      </c>
      <c r="K36" s="22" t="n">
        <v>1</v>
      </c>
      <c r="L36" s="23" t="s">
        <v>78</v>
      </c>
      <c r="M36" s="24" t="str">
        <f aca="false">IF($L36="Y",Q36/R36-1,"")</f>
        <v/>
      </c>
      <c r="N36" s="24" t="str">
        <f aca="false">IF($L36="Y",Q36/S36-1,"")</f>
        <v/>
      </c>
      <c r="O36" s="24" t="str">
        <f aca="false">IF($L36="Y",R36/S36-1,"")</f>
        <v/>
      </c>
      <c r="P36" s="19" t="str">
        <f aca="false">IF($L36="Y",IF(Q36&lt;=MIN(R36,S36),"Food First",IF(R36&lt;=S36,"Supermarket A","Supermarket B")),"Excluded")</f>
        <v>Excluded</v>
      </c>
      <c r="Q36" s="25" t="n">
        <f aca="false">E36</f>
        <v>8.7</v>
      </c>
      <c r="R36" s="25" t="n">
        <f aca="false">F36/H36</f>
        <v>5.99</v>
      </c>
      <c r="S36" s="25" t="n">
        <f aca="false">I36/K36</f>
        <v>7.99</v>
      </c>
      <c r="T36" s="26" t="s">
        <v>118</v>
      </c>
    </row>
    <row r="37" customFormat="false" ht="15" hidden="false" customHeight="false" outlineLevel="0" collapsed="false">
      <c r="A37" s="11" t="n">
        <v>33</v>
      </c>
      <c r="B37" s="12" t="s">
        <v>80</v>
      </c>
      <c r="C37" s="12" t="s">
        <v>119</v>
      </c>
      <c r="D37" s="12" t="s">
        <v>83</v>
      </c>
      <c r="E37" s="13" t="n">
        <v>0.5</v>
      </c>
      <c r="F37" s="13" t="n">
        <v>1.99</v>
      </c>
      <c r="G37" s="12" t="s">
        <v>84</v>
      </c>
      <c r="H37" s="14" t="n">
        <v>1</v>
      </c>
      <c r="I37" s="13" t="n">
        <v>1.45</v>
      </c>
      <c r="J37" s="12" t="s">
        <v>84</v>
      </c>
      <c r="K37" s="14" t="n">
        <v>1</v>
      </c>
      <c r="L37" s="15" t="s">
        <v>55</v>
      </c>
      <c r="M37" s="16" t="n">
        <f aca="false">IF($L37="Y",Q37/R37-1,"")</f>
        <v>-0.748743718592965</v>
      </c>
      <c r="N37" s="16" t="n">
        <f aca="false">IF($L37="Y",Q37/S37-1,"")</f>
        <v>-0.655172413793103</v>
      </c>
      <c r="O37" s="16" t="n">
        <f aca="false">IF($L37="Y",R37/S37-1,"")</f>
        <v>0.372413793103448</v>
      </c>
      <c r="P37" s="11" t="str">
        <f aca="false">IF($L37="Y",IF(Q37&lt;=MIN(R37,S37),"Food First",IF(R37&lt;=S37,"Supermarket A","Supermarket B")),"Excluded")</f>
        <v>Food First</v>
      </c>
      <c r="Q37" s="17" t="n">
        <f aca="false">E37</f>
        <v>0.5</v>
      </c>
      <c r="R37" s="17" t="n">
        <f aca="false">F37/H37</f>
        <v>1.99</v>
      </c>
      <c r="S37" s="17" t="n">
        <f aca="false">I37/K37</f>
        <v>1.45</v>
      </c>
      <c r="T37" s="18"/>
    </row>
    <row r="38" customFormat="false" ht="15" hidden="false" customHeight="false" outlineLevel="0" collapsed="false">
      <c r="A38" s="11" t="n">
        <v>34</v>
      </c>
      <c r="B38" s="12" t="s">
        <v>80</v>
      </c>
      <c r="C38" s="12" t="s">
        <v>120</v>
      </c>
      <c r="D38" s="12" t="s">
        <v>54</v>
      </c>
      <c r="E38" s="13" t="n">
        <v>13.8</v>
      </c>
      <c r="F38" s="13" t="n">
        <v>6.16</v>
      </c>
      <c r="G38" s="12" t="s">
        <v>54</v>
      </c>
      <c r="H38" s="14" t="n">
        <v>1</v>
      </c>
      <c r="I38" s="13" t="n">
        <v>7.36</v>
      </c>
      <c r="J38" s="12" t="s">
        <v>54</v>
      </c>
      <c r="K38" s="14" t="n">
        <v>1</v>
      </c>
      <c r="L38" s="15" t="s">
        <v>55</v>
      </c>
      <c r="M38" s="16" t="n">
        <f aca="false">IF($L38="Y",Q38/R38-1,"")</f>
        <v>1.24025974025974</v>
      </c>
      <c r="N38" s="16" t="n">
        <f aca="false">IF($L38="Y",Q38/S38-1,"")</f>
        <v>0.875</v>
      </c>
      <c r="O38" s="16" t="n">
        <f aca="false">IF($L38="Y",R38/S38-1,"")</f>
        <v>-0.16304347826087</v>
      </c>
      <c r="P38" s="11" t="str">
        <f aca="false">IF($L38="Y",IF(Q38&lt;=MIN(R38,S38),"Food First",IF(R38&lt;=S38,"Supermarket A","Supermarket B")),"Excluded")</f>
        <v>Supermarket A</v>
      </c>
      <c r="Q38" s="17" t="n">
        <f aca="false">E38</f>
        <v>13.8</v>
      </c>
      <c r="R38" s="17" t="n">
        <f aca="false">F38/H38</f>
        <v>6.16</v>
      </c>
      <c r="S38" s="17" t="n">
        <f aca="false">I38/K38</f>
        <v>7.36</v>
      </c>
      <c r="T38" s="18"/>
    </row>
    <row r="39" customFormat="false" ht="15" hidden="false" customHeight="false" outlineLevel="0" collapsed="false">
      <c r="A39" s="11" t="n">
        <v>35</v>
      </c>
      <c r="B39" s="12" t="s">
        <v>80</v>
      </c>
      <c r="C39" s="12" t="s">
        <v>121</v>
      </c>
      <c r="D39" s="12" t="s">
        <v>54</v>
      </c>
      <c r="E39" s="13" t="n">
        <v>4.5</v>
      </c>
      <c r="F39" s="13" t="n">
        <v>6.99</v>
      </c>
      <c r="G39" s="12" t="s">
        <v>54</v>
      </c>
      <c r="H39" s="14" t="n">
        <v>1</v>
      </c>
      <c r="I39" s="13" t="n">
        <v>5.29</v>
      </c>
      <c r="J39" s="12" t="s">
        <v>54</v>
      </c>
      <c r="K39" s="14" t="n">
        <v>1</v>
      </c>
      <c r="L39" s="15" t="s">
        <v>55</v>
      </c>
      <c r="M39" s="16" t="n">
        <f aca="false">IF($L39="Y",Q39/R39-1,"")</f>
        <v>-0.356223175965665</v>
      </c>
      <c r="N39" s="16" t="n">
        <f aca="false">IF($L39="Y",Q39/S39-1,"")</f>
        <v>-0.149338374291115</v>
      </c>
      <c r="O39" s="16" t="n">
        <f aca="false">IF($L39="Y",R39/S39-1,"")</f>
        <v>0.321361058601134</v>
      </c>
      <c r="P39" s="11" t="str">
        <f aca="false">IF($L39="Y",IF(Q39&lt;=MIN(R39,S39),"Food First",IF(R39&lt;=S39,"Supermarket A","Supermarket B")),"Excluded")</f>
        <v>Food First</v>
      </c>
      <c r="Q39" s="17" t="n">
        <f aca="false">E39</f>
        <v>4.5</v>
      </c>
      <c r="R39" s="17" t="n">
        <f aca="false">F39/H39</f>
        <v>6.99</v>
      </c>
      <c r="S39" s="17" t="n">
        <f aca="false">I39/K39</f>
        <v>5.29</v>
      </c>
      <c r="T39" s="18"/>
    </row>
    <row r="40" customFormat="false" ht="15" hidden="false" customHeight="false" outlineLevel="0" collapsed="false">
      <c r="A40" s="11" t="n">
        <v>36</v>
      </c>
      <c r="B40" s="12" t="s">
        <v>122</v>
      </c>
      <c r="C40" s="12" t="s">
        <v>123</v>
      </c>
      <c r="D40" s="12" t="s">
        <v>124</v>
      </c>
      <c r="E40" s="13" t="n">
        <v>15</v>
      </c>
      <c r="F40" s="13" t="n">
        <v>25.99</v>
      </c>
      <c r="G40" s="12" t="s">
        <v>125</v>
      </c>
      <c r="H40" s="14" t="n">
        <v>1</v>
      </c>
      <c r="I40" s="13" t="n">
        <v>30.65</v>
      </c>
      <c r="J40" s="12" t="s">
        <v>125</v>
      </c>
      <c r="K40" s="14" t="n">
        <v>1</v>
      </c>
      <c r="L40" s="15" t="s">
        <v>55</v>
      </c>
      <c r="M40" s="16" t="n">
        <f aca="false">IF($L40="Y",Q40/R40-1,"")</f>
        <v>-0.422854944209311</v>
      </c>
      <c r="N40" s="16" t="n">
        <f aca="false">IF($L40="Y",Q40/S40-1,"")</f>
        <v>-0.510603588907015</v>
      </c>
      <c r="O40" s="16" t="n">
        <f aca="false">IF($L40="Y",R40/S40-1,"")</f>
        <v>-0.152039151712887</v>
      </c>
      <c r="P40" s="11" t="str">
        <f aca="false">IF($L40="Y",IF(Q40&lt;=MIN(R40,S40),"Food First",IF(R40&lt;=S40,"Supermarket A","Supermarket B")),"Excluded")</f>
        <v>Food First</v>
      </c>
      <c r="Q40" s="17" t="n">
        <f aca="false">E40</f>
        <v>15</v>
      </c>
      <c r="R40" s="17" t="n">
        <f aca="false">F40/H40</f>
        <v>25.99</v>
      </c>
      <c r="S40" s="17" t="n">
        <f aca="false">I40/K40</f>
        <v>30.65</v>
      </c>
      <c r="T40" s="18"/>
    </row>
    <row r="41" customFormat="false" ht="15" hidden="false" customHeight="false" outlineLevel="0" collapsed="false">
      <c r="A41" s="11" t="n">
        <v>37</v>
      </c>
      <c r="B41" s="12" t="s">
        <v>122</v>
      </c>
      <c r="C41" s="12" t="s">
        <v>126</v>
      </c>
      <c r="D41" s="12" t="s">
        <v>124</v>
      </c>
      <c r="E41" s="13" t="n">
        <v>15</v>
      </c>
      <c r="F41" s="13" t="n">
        <v>25.99</v>
      </c>
      <c r="G41" s="12" t="s">
        <v>125</v>
      </c>
      <c r="H41" s="14" t="n">
        <v>1</v>
      </c>
      <c r="I41" s="13" t="n">
        <v>31.45</v>
      </c>
      <c r="J41" s="12" t="s">
        <v>125</v>
      </c>
      <c r="K41" s="14" t="n">
        <v>1</v>
      </c>
      <c r="L41" s="15" t="s">
        <v>55</v>
      </c>
      <c r="M41" s="16" t="n">
        <f aca="false">IF($L41="Y",Q41/R41-1,"")</f>
        <v>-0.422854944209311</v>
      </c>
      <c r="N41" s="16" t="n">
        <f aca="false">IF($L41="Y",Q41/S41-1,"")</f>
        <v>-0.523052464228935</v>
      </c>
      <c r="O41" s="16" t="n">
        <f aca="false">IF($L41="Y",R41/S41-1,"")</f>
        <v>-0.173608903020668</v>
      </c>
      <c r="P41" s="11" t="str">
        <f aca="false">IF($L41="Y",IF(Q41&lt;=MIN(R41,S41),"Food First",IF(R41&lt;=S41,"Supermarket A","Supermarket B")),"Excluded")</f>
        <v>Food First</v>
      </c>
      <c r="Q41" s="17" t="n">
        <f aca="false">E41</f>
        <v>15</v>
      </c>
      <c r="R41" s="17" t="n">
        <f aca="false">F41/H41</f>
        <v>25.99</v>
      </c>
      <c r="S41" s="17" t="n">
        <f aca="false">I41/K41</f>
        <v>31.45</v>
      </c>
      <c r="T41" s="18"/>
    </row>
    <row r="42" customFormat="false" ht="15" hidden="false" customHeight="false" outlineLevel="0" collapsed="false">
      <c r="A42" s="11" t="n">
        <v>38</v>
      </c>
      <c r="B42" s="12" t="s">
        <v>122</v>
      </c>
      <c r="C42" s="12" t="s">
        <v>127</v>
      </c>
      <c r="D42" s="12" t="s">
        <v>124</v>
      </c>
      <c r="E42" s="13" t="n">
        <v>8.5</v>
      </c>
      <c r="F42" s="13" t="n">
        <v>8.45</v>
      </c>
      <c r="G42" s="12" t="s">
        <v>125</v>
      </c>
      <c r="H42" s="14" t="n">
        <v>1</v>
      </c>
      <c r="I42" s="13" t="n">
        <v>10.99</v>
      </c>
      <c r="J42" s="12" t="s">
        <v>125</v>
      </c>
      <c r="K42" s="14" t="n">
        <v>1</v>
      </c>
      <c r="L42" s="15" t="s">
        <v>55</v>
      </c>
      <c r="M42" s="16" t="n">
        <f aca="false">IF($L42="Y",Q42/R42-1,"")</f>
        <v>0.00591715976331364</v>
      </c>
      <c r="N42" s="16" t="n">
        <f aca="false">IF($L42="Y",Q42/S42-1,"")</f>
        <v>-0.226569608735214</v>
      </c>
      <c r="O42" s="16" t="n">
        <f aca="false">IF($L42="Y",R42/S42-1,"")</f>
        <v>-0.231119199272066</v>
      </c>
      <c r="P42" s="11" t="str">
        <f aca="false">IF($L42="Y",IF(Q42&lt;=MIN(R42,S42),"Food First",IF(R42&lt;=S42,"Supermarket A","Supermarket B")),"Excluded")</f>
        <v>Supermarket A</v>
      </c>
      <c r="Q42" s="17" t="n">
        <f aca="false">E42</f>
        <v>8.5</v>
      </c>
      <c r="R42" s="17" t="n">
        <f aca="false">F42/H42</f>
        <v>8.45</v>
      </c>
      <c r="S42" s="17" t="n">
        <f aca="false">I42/K42</f>
        <v>10.99</v>
      </c>
      <c r="T42" s="18"/>
    </row>
    <row r="43" customFormat="false" ht="15" hidden="false" customHeight="false" outlineLevel="0" collapsed="false">
      <c r="A43" s="11" t="n">
        <v>39</v>
      </c>
      <c r="B43" s="12" t="s">
        <v>122</v>
      </c>
      <c r="C43" s="12" t="s">
        <v>128</v>
      </c>
      <c r="D43" s="12" t="s">
        <v>124</v>
      </c>
      <c r="E43" s="13" t="n">
        <v>5</v>
      </c>
      <c r="F43" s="13" t="n">
        <v>8.49</v>
      </c>
      <c r="G43" s="12" t="s">
        <v>125</v>
      </c>
      <c r="H43" s="14" t="n">
        <v>1</v>
      </c>
      <c r="I43" s="13" t="n">
        <v>8.79</v>
      </c>
      <c r="J43" s="12" t="s">
        <v>125</v>
      </c>
      <c r="K43" s="14" t="n">
        <v>1</v>
      </c>
      <c r="L43" s="15" t="s">
        <v>55</v>
      </c>
      <c r="M43" s="16" t="n">
        <f aca="false">IF($L43="Y",Q43/R43-1,"")</f>
        <v>-0.411071849234393</v>
      </c>
      <c r="N43" s="16" t="n">
        <f aca="false">IF($L43="Y",Q43/S43-1,"")</f>
        <v>-0.431171786120592</v>
      </c>
      <c r="O43" s="16" t="n">
        <f aca="false">IF($L43="Y",R43/S43-1,"")</f>
        <v>-0.0341296928327644</v>
      </c>
      <c r="P43" s="11" t="str">
        <f aca="false">IF($L43="Y",IF(Q43&lt;=MIN(R43,S43),"Food First",IF(R43&lt;=S43,"Supermarket A","Supermarket B")),"Excluded")</f>
        <v>Food First</v>
      </c>
      <c r="Q43" s="17" t="n">
        <f aca="false">E43</f>
        <v>5</v>
      </c>
      <c r="R43" s="17" t="n">
        <f aca="false">F43/H43</f>
        <v>8.49</v>
      </c>
      <c r="S43" s="17" t="n">
        <f aca="false">I43/K43</f>
        <v>8.79</v>
      </c>
      <c r="T43" s="18"/>
    </row>
    <row r="44" customFormat="false" ht="15" hidden="false" customHeight="false" outlineLevel="0" collapsed="false">
      <c r="A44" s="11" t="n">
        <v>40</v>
      </c>
      <c r="B44" s="12" t="s">
        <v>122</v>
      </c>
      <c r="C44" s="12" t="s">
        <v>129</v>
      </c>
      <c r="D44" s="12" t="s">
        <v>130</v>
      </c>
      <c r="E44" s="13" t="n">
        <v>9</v>
      </c>
      <c r="F44" s="13" t="n">
        <v>9.35</v>
      </c>
      <c r="G44" s="12" t="s">
        <v>131</v>
      </c>
      <c r="H44" s="14" t="n">
        <v>1</v>
      </c>
      <c r="I44" s="13" t="n">
        <v>9.25</v>
      </c>
      <c r="J44" s="12" t="s">
        <v>131</v>
      </c>
      <c r="K44" s="14" t="n">
        <v>1</v>
      </c>
      <c r="L44" s="15" t="s">
        <v>55</v>
      </c>
      <c r="M44" s="16" t="n">
        <f aca="false">IF($L44="Y",Q44/R44-1,"")</f>
        <v>-0.0374331550802138</v>
      </c>
      <c r="N44" s="16" t="n">
        <f aca="false">IF($L44="Y",Q44/S44-1,"")</f>
        <v>-0.027027027027027</v>
      </c>
      <c r="O44" s="16" t="n">
        <f aca="false">IF($L44="Y",R44/S44-1,"")</f>
        <v>0.0108108108108107</v>
      </c>
      <c r="P44" s="11" t="str">
        <f aca="false">IF($L44="Y",IF(Q44&lt;=MIN(R44,S44),"Food First",IF(R44&lt;=S44,"Supermarket A","Supermarket B")),"Excluded")</f>
        <v>Food First</v>
      </c>
      <c r="Q44" s="17" t="n">
        <f aca="false">E44</f>
        <v>9</v>
      </c>
      <c r="R44" s="17" t="n">
        <f aca="false">F44/H44</f>
        <v>9.35</v>
      </c>
      <c r="S44" s="17" t="n">
        <f aca="false">I44/K44</f>
        <v>9.25</v>
      </c>
      <c r="T44" s="18"/>
    </row>
    <row r="45" customFormat="false" ht="22.35" hidden="false" customHeight="false" outlineLevel="0" collapsed="false">
      <c r="A45" s="11" t="n">
        <v>41</v>
      </c>
      <c r="B45" s="12" t="s">
        <v>122</v>
      </c>
      <c r="C45" s="12" t="s">
        <v>132</v>
      </c>
      <c r="D45" s="12" t="s">
        <v>54</v>
      </c>
      <c r="E45" s="13" t="n">
        <v>15.4</v>
      </c>
      <c r="F45" s="13" t="n">
        <v>9.99</v>
      </c>
      <c r="G45" s="12" t="s">
        <v>133</v>
      </c>
      <c r="H45" s="14" t="n">
        <v>0.7371</v>
      </c>
      <c r="I45" s="13" t="n">
        <v>9.45</v>
      </c>
      <c r="J45" s="12" t="s">
        <v>134</v>
      </c>
      <c r="K45" s="14" t="n">
        <v>0.75</v>
      </c>
      <c r="L45" s="15" t="s">
        <v>55</v>
      </c>
      <c r="M45" s="16" t="n">
        <f aca="false">IF($L45="Y",Q45/R45-1,"")</f>
        <v>0.13627027027027</v>
      </c>
      <c r="N45" s="16" t="n">
        <f aca="false">IF($L45="Y",Q45/S45-1,"")</f>
        <v>0.222222222222222</v>
      </c>
      <c r="O45" s="16" t="n">
        <f aca="false">IF($L45="Y",R45/S45-1,"")</f>
        <v>0.0756439327867902</v>
      </c>
      <c r="P45" s="11" t="str">
        <f aca="false">IF($L45="Y",IF(Q45&lt;=MIN(R45,S45),"Food First",IF(R45&lt;=S45,"Supermarket A","Supermarket B")),"Excluded")</f>
        <v>Supermarket B</v>
      </c>
      <c r="Q45" s="17" t="n">
        <f aca="false">E45</f>
        <v>15.4</v>
      </c>
      <c r="R45" s="17" t="n">
        <f aca="false">F45/H45</f>
        <v>13.5531135531136</v>
      </c>
      <c r="S45" s="17" t="n">
        <f aca="false">I45/K45</f>
        <v>12.6</v>
      </c>
      <c r="T45" s="18" t="s">
        <v>135</v>
      </c>
    </row>
    <row r="46" customFormat="false" ht="15" hidden="false" customHeight="false" outlineLevel="0" collapsed="false">
      <c r="A46" s="11" t="n">
        <v>42</v>
      </c>
      <c r="B46" s="12" t="s">
        <v>122</v>
      </c>
      <c r="C46" s="12" t="s">
        <v>136</v>
      </c>
      <c r="D46" s="12" t="s">
        <v>54</v>
      </c>
      <c r="E46" s="13" t="n">
        <v>2</v>
      </c>
      <c r="F46" s="13" t="n">
        <v>3.52</v>
      </c>
      <c r="G46" s="12" t="s">
        <v>54</v>
      </c>
      <c r="H46" s="14" t="n">
        <v>1</v>
      </c>
      <c r="I46" s="13" t="n">
        <v>3.99</v>
      </c>
      <c r="J46" s="12" t="s">
        <v>54</v>
      </c>
      <c r="K46" s="14" t="n">
        <v>1</v>
      </c>
      <c r="L46" s="15" t="s">
        <v>55</v>
      </c>
      <c r="M46" s="16" t="n">
        <f aca="false">IF($L46="Y",Q46/R46-1,"")</f>
        <v>-0.431818181818182</v>
      </c>
      <c r="N46" s="16" t="n">
        <f aca="false">IF($L46="Y",Q46/S46-1,"")</f>
        <v>-0.49874686716792</v>
      </c>
      <c r="O46" s="16" t="n">
        <f aca="false">IF($L46="Y",R46/S46-1,"")</f>
        <v>-0.117794486215539</v>
      </c>
      <c r="P46" s="11" t="str">
        <f aca="false">IF($L46="Y",IF(Q46&lt;=MIN(R46,S46),"Food First",IF(R46&lt;=S46,"Supermarket A","Supermarket B")),"Excluded")</f>
        <v>Food First</v>
      </c>
      <c r="Q46" s="17" t="n">
        <f aca="false">E46</f>
        <v>2</v>
      </c>
      <c r="R46" s="17" t="n">
        <f aca="false">F46/H46</f>
        <v>3.52</v>
      </c>
      <c r="S46" s="17" t="n">
        <f aca="false">I46/K46</f>
        <v>3.99</v>
      </c>
      <c r="T46" s="18"/>
    </row>
    <row r="48" customFormat="false" ht="15" hidden="false" customHeight="false" outlineLevel="0" collapsed="false">
      <c r="C48" s="27" t="s">
        <v>137</v>
      </c>
      <c r="L48" s="28" t="n">
        <f aca="false">COUNTIF(L5:L46,"Y")</f>
        <v>38</v>
      </c>
      <c r="P48" s="27" t="s">
        <v>138</v>
      </c>
      <c r="Q48" s="29" t="n">
        <f aca="false">SUMIFS(Q5:Q46,$L$5:$L$46,"Y")</f>
        <v>342.41</v>
      </c>
      <c r="R48" s="29" t="n">
        <f aca="false">SUMIFS(R5:R46,$L$5:$L$46,"Y")</f>
        <v>411.683819435467</v>
      </c>
      <c r="S48" s="29" t="n">
        <f aca="false">SUMIFS(S5:S46,$L$5:$L$46,"Y")</f>
        <v>432.03389390324</v>
      </c>
      <c r="T48" s="30" t="s">
        <v>139</v>
      </c>
    </row>
    <row r="50" customFormat="false" ht="15" hidden="false" customHeight="false" outlineLevel="0" collapsed="false">
      <c r="C50" s="27" t="s">
        <v>140</v>
      </c>
    </row>
    <row r="51" customFormat="false" ht="15" hidden="false" customHeight="false" outlineLevel="0" collapsed="false">
      <c r="C51" s="30" t="s">
        <v>141</v>
      </c>
    </row>
    <row r="52" customFormat="false" ht="15" hidden="false" customHeight="false" outlineLevel="0" collapsed="false">
      <c r="C52" s="30" t="s">
        <v>142</v>
      </c>
    </row>
  </sheetData>
  <autoFilter ref="A4:T46"/>
  <mergeCells count="7">
    <mergeCell ref="A1:T1"/>
    <mergeCell ref="A2:T2"/>
    <mergeCell ref="A3:D3"/>
    <mergeCell ref="F3:H3"/>
    <mergeCell ref="I3:K3"/>
    <mergeCell ref="M3:O3"/>
    <mergeCell ref="Q3:S3"/>
  </mergeCells>
  <conditionalFormatting sqref="M5:O46">
    <cfRule type="cellIs" priority="2" operator="lessThan" aboveAverage="0" equalAverage="0" bottom="0" percent="0" rank="0" text="" dxfId="8">
      <formula>0</formula>
    </cfRule>
    <cfRule type="cellIs" priority="3" operator="greaterThan" aboveAverage="0" equalAverage="0" bottom="0" percent="0" rank="0" text="" dxfId="9">
      <formula>0</formula>
    </cfRule>
  </conditionalFormatting>
  <dataValidations count="1">
    <dataValidation allowBlank="false" errorStyle="stop" operator="between" showDropDown="false" showErrorMessage="false" showInputMessage="false" sqref="L5:L46"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84F95"/>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6"/>
    <col collapsed="false" customWidth="true" hidden="false" outlineLevel="0" max="5" min="5" style="0" width="3"/>
    <col collapsed="false" customWidth="true" hidden="false" outlineLevel="0" max="6" min="6" style="0" width="30"/>
    <col collapsed="false" customWidth="true" hidden="false" outlineLevel="0" max="7" min="7" style="0" width="16"/>
  </cols>
  <sheetData>
    <row r="1" customFormat="false" ht="19.7" hidden="false" customHeight="false" outlineLevel="0" collapsed="false">
      <c r="A1" s="1" t="s">
        <v>143</v>
      </c>
      <c r="B1" s="1"/>
      <c r="C1" s="1"/>
      <c r="D1" s="1"/>
      <c r="E1" s="1"/>
      <c r="F1" s="1"/>
      <c r="G1" s="1"/>
    </row>
    <row r="2" customFormat="false" ht="15" hidden="false" customHeight="false" outlineLevel="0" collapsed="false">
      <c r="A2" s="2" t="s">
        <v>144</v>
      </c>
      <c r="B2" s="2"/>
      <c r="C2" s="2"/>
      <c r="D2" s="2"/>
      <c r="E2" s="2"/>
      <c r="F2" s="2"/>
      <c r="G2" s="2"/>
    </row>
    <row r="4" customFormat="false" ht="22.35" hidden="false" customHeight="false" outlineLevel="0" collapsed="false">
      <c r="A4" s="31" t="s">
        <v>145</v>
      </c>
      <c r="B4" s="31" t="s">
        <v>146</v>
      </c>
      <c r="C4" s="31" t="s">
        <v>147</v>
      </c>
      <c r="D4" s="31" t="s">
        <v>148</v>
      </c>
    </row>
    <row r="5" customFormat="false" ht="33.75" hidden="false" customHeight="true" outlineLevel="0" collapsed="false">
      <c r="A5" s="32" t="n">
        <f aca="false">COUNTIF('Price Data'!$L$5:$L$46,"Y")</f>
        <v>38</v>
      </c>
      <c r="B5" s="33" t="str">
        <f aca="false">COUNTIFS('Price Data'!$P$5:$P$46,"Food First")&amp;" of "&amp;COUNTIF('Price Data'!$L$5:$L$46,"Y")</f>
        <v>28 of 38</v>
      </c>
      <c r="C5" s="34" t="n">
        <f aca="false">MEDIAN('Price Data'!$M$5:$M$46)</f>
        <v>-0.202732319183042</v>
      </c>
      <c r="D5" s="34" t="n">
        <f aca="false">MEDIAN('Price Data'!$N$5:$N$46)</f>
        <v>-0.227184418267221</v>
      </c>
    </row>
    <row r="8" customFormat="false" ht="23.85" hidden="false" customHeight="false" outlineLevel="0" collapsed="false">
      <c r="A8" s="10" t="s">
        <v>149</v>
      </c>
      <c r="B8" s="10" t="s">
        <v>150</v>
      </c>
      <c r="C8" s="10" t="s">
        <v>151</v>
      </c>
      <c r="D8" s="10" t="s">
        <v>49</v>
      </c>
    </row>
    <row r="9" customFormat="false" ht="15" hidden="false" customHeight="false" outlineLevel="0" collapsed="false">
      <c r="A9" s="12" t="s">
        <v>152</v>
      </c>
      <c r="B9" s="35" t="n">
        <f aca="false">COUNT('Price Data'!$M$5:$M$46)</f>
        <v>38</v>
      </c>
      <c r="C9" s="35" t="n">
        <f aca="false">COUNT('Price Data'!$N$5:$N$46)</f>
        <v>38</v>
      </c>
      <c r="D9" s="35" t="n">
        <f aca="false">COUNT('Price Data'!$O$5:$O$46)</f>
        <v>38</v>
      </c>
    </row>
    <row r="10" customFormat="false" ht="15" hidden="false" customHeight="false" outlineLevel="0" collapsed="false">
      <c r="A10" s="12" t="s">
        <v>153</v>
      </c>
      <c r="B10" s="35" t="n">
        <f aca="false">COUNTIF('Price Data'!$M$5:$M$46,"&lt;0")</f>
        <v>29</v>
      </c>
      <c r="C10" s="35" t="n">
        <f aca="false">COUNTIF('Price Data'!$N$5:$N$46,"&lt;0")</f>
        <v>30</v>
      </c>
      <c r="D10" s="35" t="n">
        <f aca="false">COUNTIF('Price Data'!$O$5:$O$46,"&lt;0")</f>
        <v>25</v>
      </c>
    </row>
    <row r="11" customFormat="false" ht="15" hidden="false" customHeight="false" outlineLevel="0" collapsed="false">
      <c r="A11" s="12" t="s">
        <v>154</v>
      </c>
      <c r="B11" s="35" t="n">
        <f aca="false">COUNTIF('Price Data'!$M$5:$M$46,0)</f>
        <v>0</v>
      </c>
      <c r="C11" s="35" t="n">
        <f aca="false">COUNTIF('Price Data'!$N$5:$N$46,0)</f>
        <v>1</v>
      </c>
      <c r="D11" s="35" t="n">
        <f aca="false">COUNTIF('Price Data'!$O$5:$O$46,0)</f>
        <v>1</v>
      </c>
    </row>
    <row r="12" customFormat="false" ht="15" hidden="false" customHeight="false" outlineLevel="0" collapsed="false">
      <c r="A12" s="36" t="s">
        <v>155</v>
      </c>
      <c r="B12" s="35" t="n">
        <f aca="false">COUNTIF('Price Data'!$M$5:$M$46,"&gt;0")</f>
        <v>9</v>
      </c>
      <c r="C12" s="35" t="n">
        <f aca="false">COUNTIF('Price Data'!$N$5:$N$46,"&gt;0")</f>
        <v>7</v>
      </c>
      <c r="D12" s="35" t="n">
        <f aca="false">COUNTIF('Price Data'!$O$5:$O$46,"&gt;0")</f>
        <v>12</v>
      </c>
    </row>
    <row r="13" customFormat="false" ht="15" hidden="false" customHeight="false" outlineLevel="0" collapsed="false">
      <c r="A13" s="12" t="s">
        <v>156</v>
      </c>
      <c r="B13" s="16" t="n">
        <f aca="false">B10/B9</f>
        <v>0.763157894736842</v>
      </c>
      <c r="C13" s="16" t="n">
        <f aca="false">C10/C9</f>
        <v>0.789473684210526</v>
      </c>
      <c r="D13" s="16" t="n">
        <f aca="false">D10/D9</f>
        <v>0.657894736842105</v>
      </c>
    </row>
    <row r="14" customFormat="false" ht="15" hidden="false" customHeight="false" outlineLevel="0" collapsed="false">
      <c r="A14" s="12" t="s">
        <v>157</v>
      </c>
      <c r="B14" s="16" t="n">
        <f aca="false">AVERAGE('Price Data'!$M$5:$M$46)</f>
        <v>-0.161591621102049</v>
      </c>
      <c r="C14" s="16" t="n">
        <f aca="false">AVERAGE('Price Data'!$N$5:$N$46)</f>
        <v>-0.185715196743164</v>
      </c>
      <c r="D14" s="16" t="n">
        <f aca="false">AVERAGE('Price Data'!$O$5:$O$46)</f>
        <v>0.0014325772338995</v>
      </c>
    </row>
    <row r="15" customFormat="false" ht="15" hidden="false" customHeight="false" outlineLevel="0" collapsed="false">
      <c r="A15" s="12" t="s">
        <v>158</v>
      </c>
      <c r="B15" s="16" t="n">
        <f aca="false">MEDIAN('Price Data'!$M$5:$M$46)</f>
        <v>-0.202732319183042</v>
      </c>
      <c r="C15" s="16" t="n">
        <f aca="false">MEDIAN('Price Data'!$N$5:$N$46)</f>
        <v>-0.227184418267221</v>
      </c>
      <c r="D15" s="16" t="n">
        <f aca="false">MEDIAN('Price Data'!$O$5:$O$46)</f>
        <v>-0.102684306871709</v>
      </c>
    </row>
    <row r="16" customFormat="false" ht="15" hidden="false" customHeight="false" outlineLevel="0" collapsed="false">
      <c r="A16" s="12" t="s">
        <v>159</v>
      </c>
      <c r="B16" s="16" t="n">
        <f aca="false">MIN('Price Data'!$M$5:$M$46)</f>
        <v>-0.748743718592965</v>
      </c>
      <c r="C16" s="16" t="n">
        <f aca="false">MIN('Price Data'!$N$5:$N$46)</f>
        <v>-0.659632402995235</v>
      </c>
      <c r="D16" s="16" t="n">
        <f aca="false">MIN('Price Data'!$O$5:$O$46)</f>
        <v>-0.334593572778828</v>
      </c>
    </row>
    <row r="17" customFormat="false" ht="15" hidden="false" customHeight="false" outlineLevel="0" collapsed="false">
      <c r="A17" s="12" t="s">
        <v>160</v>
      </c>
      <c r="B17" s="16" t="n">
        <f aca="false">MAX('Price Data'!$M$5:$M$46)</f>
        <v>1.24025974025974</v>
      </c>
      <c r="C17" s="16" t="n">
        <f aca="false">MAX('Price Data'!$N$5:$N$46)</f>
        <v>0.974955414012739</v>
      </c>
      <c r="D17" s="16" t="n">
        <f aca="false">MAX('Price Data'!$O$5:$O$46)</f>
        <v>1.00671140939597</v>
      </c>
    </row>
    <row r="18" customFormat="false" ht="15" hidden="false" customHeight="false" outlineLevel="0" collapsed="false">
      <c r="A18" s="30" t="s">
        <v>161</v>
      </c>
    </row>
    <row r="20" customFormat="false" ht="15" hidden="false" customHeight="false" outlineLevel="0" collapsed="false">
      <c r="A20" s="10" t="s">
        <v>162</v>
      </c>
      <c r="B20" s="10" t="s">
        <v>163</v>
      </c>
      <c r="C20" s="10" t="s">
        <v>164</v>
      </c>
    </row>
    <row r="21" customFormat="false" ht="15" hidden="false" customHeight="false" outlineLevel="0" collapsed="false">
      <c r="A21" s="12" t="s">
        <v>31</v>
      </c>
      <c r="B21" s="35" t="n">
        <f aca="false">COUNTIF('Price Data'!$P$5:$P$46,A21)</f>
        <v>28</v>
      </c>
      <c r="C21" s="16" t="n">
        <f aca="false">B21/COUNTIF('Price Data'!$L$5:$L$46,"Y")</f>
        <v>0.736842105263158</v>
      </c>
    </row>
    <row r="22" customFormat="false" ht="15" hidden="false" customHeight="false" outlineLevel="0" collapsed="false">
      <c r="A22" s="12" t="s">
        <v>32</v>
      </c>
      <c r="B22" s="35" t="n">
        <f aca="false">COUNTIF('Price Data'!$P$5:$P$46,A22)</f>
        <v>6</v>
      </c>
      <c r="C22" s="16" t="n">
        <f aca="false">B22/COUNTIF('Price Data'!$L$5:$L$46,"Y")</f>
        <v>0.157894736842105</v>
      </c>
    </row>
    <row r="23" customFormat="false" ht="15" hidden="false" customHeight="false" outlineLevel="0" collapsed="false">
      <c r="A23" s="12" t="s">
        <v>33</v>
      </c>
      <c r="B23" s="35" t="n">
        <f aca="false">COUNTIF('Price Data'!$P$5:$P$46,A23)</f>
        <v>4</v>
      </c>
      <c r="C23" s="16" t="n">
        <f aca="false">B23/COUNTIF('Price Data'!$L$5:$L$46,"Y")</f>
        <v>0.105263157894737</v>
      </c>
    </row>
    <row r="26" customFormat="false" ht="15" hidden="false" customHeight="false" outlineLevel="0" collapsed="false">
      <c r="A26" s="10" t="s">
        <v>165</v>
      </c>
      <c r="B26" s="10" t="s">
        <v>166</v>
      </c>
      <c r="C26" s="10" t="s">
        <v>167</v>
      </c>
    </row>
    <row r="27" customFormat="false" ht="15" hidden="false" customHeight="false" outlineLevel="0" collapsed="false">
      <c r="A27" s="12" t="s">
        <v>31</v>
      </c>
      <c r="B27" s="37" t="n">
        <f aca="false">'Price Data'!Q48</f>
        <v>342.41</v>
      </c>
      <c r="C27" s="16"/>
    </row>
    <row r="28" customFormat="false" ht="15" hidden="false" customHeight="false" outlineLevel="0" collapsed="false">
      <c r="A28" s="12" t="s">
        <v>32</v>
      </c>
      <c r="B28" s="37" t="n">
        <f aca="false">'Price Data'!R48</f>
        <v>411.683819435467</v>
      </c>
      <c r="C28" s="16" t="n">
        <f aca="false">$B$27/B28-1</f>
        <v>-0.168269473234241</v>
      </c>
    </row>
    <row r="29" customFormat="false" ht="15" hidden="false" customHeight="false" outlineLevel="0" collapsed="false">
      <c r="A29" s="12" t="s">
        <v>33</v>
      </c>
      <c r="B29" s="37" t="n">
        <f aca="false">'Price Data'!S48</f>
        <v>432.03389390324</v>
      </c>
      <c r="C29" s="16" t="n">
        <f aca="false">$B$27/B29-1</f>
        <v>-0.207446441513019</v>
      </c>
    </row>
    <row r="30" customFormat="false" ht="15" hidden="false" customHeight="false" outlineLevel="0" collapsed="false">
      <c r="A30" s="30" t="s">
        <v>168</v>
      </c>
    </row>
    <row r="32" customFormat="false" ht="15" hidden="false" customHeight="false" outlineLevel="0" collapsed="false">
      <c r="A32" s="38" t="s">
        <v>169</v>
      </c>
    </row>
    <row r="33" customFormat="false" ht="27.75" hidden="false" customHeight="true" outlineLevel="0" collapsed="false">
      <c r="A33" s="39" t="s">
        <v>170</v>
      </c>
      <c r="B33" s="39"/>
      <c r="C33" s="39"/>
      <c r="D33" s="39"/>
    </row>
    <row r="34" customFormat="false" ht="27.75" hidden="false" customHeight="true" outlineLevel="0" collapsed="false">
      <c r="A34" s="39" t="s">
        <v>171</v>
      </c>
      <c r="B34" s="39"/>
      <c r="C34" s="39"/>
      <c r="D34" s="39"/>
    </row>
    <row r="35" customFormat="false" ht="27.75" hidden="false" customHeight="true" outlineLevel="0" collapsed="false">
      <c r="A35" s="39" t="s">
        <v>172</v>
      </c>
      <c r="B35" s="39"/>
      <c r="C35" s="39"/>
      <c r="D35" s="39"/>
    </row>
  </sheetData>
  <mergeCells count="5">
    <mergeCell ref="A1:G1"/>
    <mergeCell ref="A2:G2"/>
    <mergeCell ref="A33:D33"/>
    <mergeCell ref="A34:D34"/>
    <mergeCell ref="A35:D35"/>
  </mergeCells>
  <conditionalFormatting sqref="B14:D17">
    <cfRule type="cellIs" priority="2" operator="lessThan" aboveAverage="0" equalAverage="0" bottom="0" percent="0" rank="0" text="" dxfId="8">
      <formula>0</formula>
    </cfRule>
    <cfRule type="cellIs" priority="3" operator="greaterThan" aboveAverage="0" equalAverage="0" bottom="0" percent="0" rank="0" text="" dxfId="9">
      <formula>0</formula>
    </cfRule>
  </conditionalFormatting>
  <conditionalFormatting sqref="C28:C29">
    <cfRule type="cellIs" priority="4" operator="lessThan" aboveAverage="0" equalAverage="0" bottom="0" percent="0" rank="0" text="" dxfId="8">
      <formula>0</formula>
    </cfRule>
    <cfRule type="cellIs" priority="5" operator="greaterThan"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6834"/>
    <pageSetUpPr fitToPage="true"/>
  </sheetPr>
  <dimension ref="A1:L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1"/>
    <col collapsed="false" customWidth="true" hidden="false" outlineLevel="0" max="8" min="4" style="0" width="13"/>
    <col collapsed="false" customWidth="true" hidden="false" outlineLevel="0" max="12" min="9" style="0" width="14"/>
  </cols>
  <sheetData>
    <row r="1" customFormat="false" ht="19.7" hidden="false" customHeight="false" outlineLevel="0" collapsed="false">
      <c r="A1" s="1" t="s">
        <v>173</v>
      </c>
      <c r="B1" s="1"/>
      <c r="C1" s="1"/>
      <c r="D1" s="1"/>
      <c r="E1" s="1"/>
      <c r="F1" s="1"/>
      <c r="G1" s="1"/>
      <c r="H1" s="1"/>
      <c r="I1" s="1"/>
      <c r="J1" s="1"/>
      <c r="K1" s="1"/>
      <c r="L1" s="1"/>
    </row>
    <row r="2" customFormat="false" ht="15" hidden="false" customHeight="false" outlineLevel="0" collapsed="false">
      <c r="A2" s="2" t="s">
        <v>174</v>
      </c>
      <c r="B2" s="2"/>
      <c r="C2" s="2"/>
      <c r="D2" s="2"/>
      <c r="E2" s="2"/>
      <c r="F2" s="2"/>
      <c r="G2" s="2"/>
      <c r="H2" s="2"/>
      <c r="I2" s="2"/>
      <c r="J2" s="2"/>
      <c r="K2" s="2"/>
      <c r="L2" s="2"/>
    </row>
    <row r="4" customFormat="false" ht="43.5" hidden="false" customHeight="true" outlineLevel="0" collapsed="false">
      <c r="A4" s="10" t="s">
        <v>40</v>
      </c>
      <c r="B4" s="10" t="s">
        <v>175</v>
      </c>
      <c r="C4" s="10" t="s">
        <v>145</v>
      </c>
      <c r="D4" s="10" t="s">
        <v>176</v>
      </c>
      <c r="E4" s="10" t="s">
        <v>177</v>
      </c>
      <c r="F4" s="10" t="s">
        <v>178</v>
      </c>
      <c r="G4" s="10" t="s">
        <v>179</v>
      </c>
      <c r="H4" s="10" t="s">
        <v>180</v>
      </c>
      <c r="I4" s="10" t="s">
        <v>181</v>
      </c>
      <c r="J4" s="10" t="s">
        <v>182</v>
      </c>
      <c r="K4" s="10" t="s">
        <v>183</v>
      </c>
      <c r="L4" s="10" t="s">
        <v>184</v>
      </c>
    </row>
    <row r="5" customFormat="false" ht="15" hidden="false" customHeight="false" outlineLevel="0" collapsed="false">
      <c r="A5" s="12" t="s">
        <v>52</v>
      </c>
      <c r="B5" s="35" t="n">
        <f aca="false">COUNTIF('Price Data'!$B$5:$B$46,$A5)</f>
        <v>13</v>
      </c>
      <c r="C5" s="35" t="n">
        <f aca="false">COUNTIFS('Price Data'!$B$5:$B$46,$A5,'Price Data'!$L$5:$L$46,"Y")</f>
        <v>12</v>
      </c>
      <c r="D5" s="16" t="n">
        <f aca="false">IFERROR(AVERAGEIFS('Price Data'!$M$5:$M$46,'Price Data'!$B$5:$B$46,$A5),"")</f>
        <v>-0.284434847967552</v>
      </c>
      <c r="E5" s="16" t="n">
        <f aca="false" t="array" ref="E5:E5">MEDIAN(IF('Price Data'!$B$5:$B$46=$A5,'Price Data'!$M$5:$M$46))</f>
        <v>-0.403017977016725</v>
      </c>
      <c r="F5" s="16" t="n">
        <f aca="false">IFERROR(AVERAGEIFS('Price Data'!$N$5:$N$46,'Price Data'!$B$5:$B$46,$A5),"")</f>
        <v>-0.318327983387127</v>
      </c>
      <c r="G5" s="16" t="n">
        <f aca="false" t="array" ref="G5:G5">MEDIAN(IF('Price Data'!$B$5:$B$46=$A5,'Price Data'!$N$5:$N$46))</f>
        <v>-0.361268897599286</v>
      </c>
      <c r="H5" s="16" t="n">
        <f aca="false">IFERROR(AVERAGEIFS('Price Data'!$O$5:$O$46,'Price Data'!$B$5:$B$46,$A5),"")</f>
        <v>-0.0466701613508734</v>
      </c>
      <c r="I5" s="35" t="n">
        <f aca="false">COUNTIFS('Price Data'!$B$5:$B$46,$A5,'Price Data'!$M$5:$M$46,"&lt;0")</f>
        <v>11</v>
      </c>
      <c r="J5" s="35" t="n">
        <f aca="false">COUNTIFS('Price Data'!$B$5:$B$46,$A5,'Price Data'!$N$5:$N$46,"&lt;0")</f>
        <v>11</v>
      </c>
      <c r="K5" s="35" t="n">
        <f aca="false">SUMPRODUCT(('Price Data'!$B$5:$B$46=$A5)*('Price Data'!$M$5:$M$46&lt;&gt;"")*('Price Data'!$M$5:$M$46&lt;0)*('Price Data'!$N$5:$N$46&lt;0))</f>
        <v>11</v>
      </c>
      <c r="L5" s="35" t="n">
        <f aca="false">COUNTIFS('Price Data'!$B$5:$B$46,$A5,'Price Data'!$P$5:$P$46,"Food First")</f>
        <v>11</v>
      </c>
    </row>
    <row r="6" customFormat="false" ht="15" hidden="false" customHeight="false" outlineLevel="0" collapsed="false">
      <c r="A6" s="12" t="s">
        <v>80</v>
      </c>
      <c r="B6" s="35" t="n">
        <f aca="false">COUNTIF('Price Data'!$B$5:$B$46,$A6)</f>
        <v>22</v>
      </c>
      <c r="C6" s="35" t="n">
        <f aca="false">COUNTIFS('Price Data'!$B$5:$B$46,$A6,'Price Data'!$L$5:$L$46,"Y")</f>
        <v>19</v>
      </c>
      <c r="D6" s="16" t="n">
        <f aca="false">IFERROR(AVERAGEIFS('Price Data'!$M$5:$M$46,'Price Data'!$B$5:$B$46,$A6),"")</f>
        <v>-0.0601798832499691</v>
      </c>
      <c r="E6" s="16" t="n">
        <f aca="false" t="array" ref="E6:E6">MEDIAN(IF('Price Data'!$B$5:$B$46=$A6,'Price Data'!$M$5:$M$46))</f>
        <v>-0.0702479338842975</v>
      </c>
      <c r="F6" s="16" t="n">
        <f aca="false">IFERROR(AVERAGEIFS('Price Data'!$N$5:$N$46,'Price Data'!$B$5:$B$46,$A6),"")</f>
        <v>-0.0653838187173799</v>
      </c>
      <c r="G6" s="16" t="n">
        <f aca="false" t="array" ref="G6:G6">MEDIAN(IF('Price Data'!$B$5:$B$46=$A6,'Price Data'!$N$5:$N$46))</f>
        <v>-0.149338374291115</v>
      </c>
      <c r="H6" s="16" t="n">
        <f aca="false">IFERROR(AVERAGEIFS('Price Data'!$O$5:$O$46,'Price Data'!$B$5:$B$46,$A6),"")</f>
        <v>0.0650903452923676</v>
      </c>
      <c r="I6" s="35" t="n">
        <f aca="false">COUNTIFS('Price Data'!$B$5:$B$46,$A6,'Price Data'!$M$5:$M$46,"&lt;0")</f>
        <v>13</v>
      </c>
      <c r="J6" s="35" t="n">
        <f aca="false">COUNTIFS('Price Data'!$B$5:$B$46,$A6,'Price Data'!$N$5:$N$46,"&lt;0")</f>
        <v>13</v>
      </c>
      <c r="K6" s="35" t="n">
        <f aca="false">SUMPRODUCT(('Price Data'!$B$5:$B$46=$A6)*('Price Data'!$M$5:$M$46&lt;&gt;"")*('Price Data'!$M$5:$M$46&lt;0)*('Price Data'!$N$5:$N$46&lt;0))</f>
        <v>12</v>
      </c>
      <c r="L6" s="35" t="n">
        <f aca="false">COUNTIFS('Price Data'!$B$5:$B$46,$A6,'Price Data'!$P$5:$P$46,"Food First")</f>
        <v>12</v>
      </c>
    </row>
    <row r="7" customFormat="false" ht="15" hidden="false" customHeight="false" outlineLevel="0" collapsed="false">
      <c r="A7" s="12" t="s">
        <v>122</v>
      </c>
      <c r="B7" s="35" t="n">
        <f aca="false">COUNTIF('Price Data'!$B$5:$B$46,$A7)</f>
        <v>7</v>
      </c>
      <c r="C7" s="35" t="n">
        <f aca="false">COUNTIFS('Price Data'!$B$5:$B$46,$A7,'Price Data'!$L$5:$L$46,"Y")</f>
        <v>7</v>
      </c>
      <c r="D7" s="16" t="n">
        <f aca="false">IFERROR(AVERAGEIFS('Price Data'!$M$5:$M$46,'Price Data'!$B$5:$B$46,$A7),"")</f>
        <v>-0.226263663502547</v>
      </c>
      <c r="E7" s="16" t="n">
        <f aca="false" t="array" ref="E7:E7">MEDIAN(IF('Price Data'!$B$5:$B$46=$A7,'Price Data'!$M$5:$M$46))</f>
        <v>-0.411071849234393</v>
      </c>
      <c r="F7" s="16" t="n">
        <f aca="false">IFERROR(AVERAGEIFS('Price Data'!$N$5:$N$46,'Price Data'!$B$5:$B$46,$A7),"")</f>
        <v>-0.284992731423497</v>
      </c>
      <c r="G7" s="16" t="n">
        <f aca="false" t="array" ref="G7:G7">MEDIAN(IF('Price Data'!$B$5:$B$46=$A7,'Price Data'!$N$5:$N$46))</f>
        <v>-0.431171786120592</v>
      </c>
      <c r="H7" s="16" t="n">
        <f aca="false">IFERROR(AVERAGEIFS('Price Data'!$O$5:$O$46,'Price Data'!$B$5:$B$46,$A7),"")</f>
        <v>-0.0888909556366176</v>
      </c>
      <c r="I7" s="35" t="n">
        <f aca="false">COUNTIFS('Price Data'!$B$5:$B$46,$A7,'Price Data'!$M$5:$M$46,"&lt;0")</f>
        <v>5</v>
      </c>
      <c r="J7" s="35" t="n">
        <f aca="false">COUNTIFS('Price Data'!$B$5:$B$46,$A7,'Price Data'!$N$5:$N$46,"&lt;0")</f>
        <v>6</v>
      </c>
      <c r="K7" s="35" t="n">
        <f aca="false">SUMPRODUCT(('Price Data'!$B$5:$B$46=$A7)*('Price Data'!$M$5:$M$46&lt;&gt;"")*('Price Data'!$M$5:$M$46&lt;0)*('Price Data'!$N$5:$N$46&lt;0))</f>
        <v>5</v>
      </c>
      <c r="L7" s="35" t="n">
        <f aca="false">COUNTIFS('Price Data'!$B$5:$B$46,$A7,'Price Data'!$P$5:$P$46,"Food First")</f>
        <v>5</v>
      </c>
    </row>
    <row r="8" customFormat="false" ht="15" hidden="false" customHeight="false" outlineLevel="0" collapsed="false">
      <c r="A8" s="40" t="s">
        <v>185</v>
      </c>
      <c r="B8" s="41" t="n">
        <f aca="false">COUNTA('Price Data'!$B$5:$B$46)</f>
        <v>42</v>
      </c>
      <c r="C8" s="41" t="n">
        <f aca="false">COUNT('Price Data'!$M$5:$M$46)</f>
        <v>38</v>
      </c>
      <c r="D8" s="42" t="n">
        <f aca="false">AVERAGE('Price Data'!$M$5:$M$46)</f>
        <v>-0.161591621102049</v>
      </c>
      <c r="E8" s="42" t="n">
        <f aca="false">MEDIAN('Price Data'!$M$5:$M$46)</f>
        <v>-0.202732319183042</v>
      </c>
      <c r="F8" s="42" t="n">
        <f aca="false">AVERAGE('Price Data'!$N$5:$N$46)</f>
        <v>-0.185715196743164</v>
      </c>
      <c r="G8" s="42" t="n">
        <f aca="false">MEDIAN('Price Data'!$N$5:$N$46)</f>
        <v>-0.227184418267221</v>
      </c>
      <c r="H8" s="42" t="n">
        <f aca="false">AVERAGE('Price Data'!$O$5:$O$46)</f>
        <v>0.0014325772338995</v>
      </c>
      <c r="I8" s="41" t="n">
        <f aca="false">COUNTIF('Price Data'!$M$5:$M$46,"&lt;0")</f>
        <v>29</v>
      </c>
      <c r="J8" s="41" t="n">
        <f aca="false">COUNTIF('Price Data'!$N$5:$N$46,"&lt;0")</f>
        <v>30</v>
      </c>
      <c r="K8" s="41" t="n">
        <f aca="false">SUMPRODUCT(('Price Data'!$M$5:$M$46&lt;&gt;"")*('Price Data'!$M$5:$M$46&lt;0)*('Price Data'!$N$5:$N$46&lt;0))</f>
        <v>28</v>
      </c>
      <c r="L8" s="41" t="n">
        <f aca="false">COUNTIF('Price Data'!$P$5:$P$46,"Food First")</f>
        <v>28</v>
      </c>
    </row>
    <row r="10" customFormat="false" ht="15" hidden="false" customHeight="false" outlineLevel="0" collapsed="false">
      <c r="A10" s="30" t="s">
        <v>186</v>
      </c>
    </row>
    <row r="11" customFormat="false" ht="15" hidden="false" customHeight="false" outlineLevel="0" collapsed="false">
      <c r="A11" s="30" t="s">
        <v>187</v>
      </c>
    </row>
    <row r="13" customFormat="false" ht="15" hidden="false" customHeight="false" outlineLevel="0" collapsed="false">
      <c r="A13" s="38" t="s">
        <v>188</v>
      </c>
    </row>
    <row r="14" customFormat="false" ht="23.85" hidden="false" customHeight="false" outlineLevel="0" collapsed="false">
      <c r="A14" s="10" t="s">
        <v>40</v>
      </c>
      <c r="B14" s="10" t="s">
        <v>30</v>
      </c>
      <c r="C14" s="10" t="s">
        <v>189</v>
      </c>
      <c r="D14" s="10" t="s">
        <v>190</v>
      </c>
    </row>
    <row r="15" customFormat="false" ht="15" hidden="false" customHeight="false" outlineLevel="0" collapsed="false">
      <c r="A15" s="12" t="str">
        <f aca="false">'Price Data'!B5</f>
        <v>Vegetables</v>
      </c>
      <c r="B15" s="12" t="str">
        <f aca="false">'Price Data'!C5</f>
        <v>Broccoli</v>
      </c>
      <c r="C15" s="43" t="n">
        <f aca="false">'Price Data'!M5</f>
        <v>-0.066044029352902</v>
      </c>
      <c r="D15" s="43" t="n">
        <f aca="false">'Price Data'!N5</f>
        <v>-0.124452782989368</v>
      </c>
    </row>
    <row r="16" customFormat="false" ht="15" hidden="false" customHeight="false" outlineLevel="0" collapsed="false">
      <c r="A16" s="12" t="str">
        <f aca="false">'Price Data'!B6</f>
        <v>Vegetables</v>
      </c>
      <c r="B16" s="12" t="str">
        <f aca="false">'Price Data'!C6</f>
        <v>Cauliflower</v>
      </c>
      <c r="C16" s="43" t="n">
        <f aca="false">'Price Data'!M6</f>
        <v>-0.23949299533022</v>
      </c>
      <c r="D16" s="43" t="n">
        <f aca="false">'Price Data'!N6</f>
        <v>-0.366314619232907</v>
      </c>
    </row>
    <row r="17" customFormat="false" ht="15" hidden="false" customHeight="false" outlineLevel="0" collapsed="false">
      <c r="A17" s="12" t="str">
        <f aca="false">'Price Data'!B7</f>
        <v>Vegetables</v>
      </c>
      <c r="B17" s="12" t="str">
        <f aca="false">'Price Data'!C7</f>
        <v>Romaine Lettuce</v>
      </c>
      <c r="C17" s="43" t="n">
        <f aca="false">'Price Data'!M7</f>
        <v>-0.374217772215269</v>
      </c>
      <c r="D17" s="43" t="n">
        <f aca="false">'Price Data'!N7</f>
        <v>-0.136442141623489</v>
      </c>
    </row>
    <row r="18" customFormat="false" ht="15" hidden="false" customHeight="false" outlineLevel="0" collapsed="false">
      <c r="A18" s="12" t="str">
        <f aca="false">'Price Data'!B8</f>
        <v>Vegetables</v>
      </c>
      <c r="B18" s="12" t="str">
        <f aca="false">'Price Data'!C8</f>
        <v>Iceberg Lettuce</v>
      </c>
      <c r="C18" s="43" t="n">
        <f aca="false">'Price Data'!M8</f>
        <v>-0.248747913188648</v>
      </c>
      <c r="D18" s="43" t="n">
        <f aca="false">'Price Data'!N8</f>
        <v>-0.356223175965665</v>
      </c>
    </row>
    <row r="19" customFormat="false" ht="15" hidden="false" customHeight="false" outlineLevel="0" collapsed="false">
      <c r="A19" s="12" t="str">
        <f aca="false">'Price Data'!B9</f>
        <v>Vegetables</v>
      </c>
      <c r="B19" s="12" t="str">
        <f aca="false">'Price Data'!C9</f>
        <v>Local Cabbage</v>
      </c>
      <c r="C19" s="43" t="n">
        <f aca="false">'Price Data'!M9</f>
        <v>-0.468892261001518</v>
      </c>
      <c r="D19" s="43" t="n">
        <f aca="false">'Price Data'!N9</f>
        <v>-0.556400506970849</v>
      </c>
    </row>
    <row r="20" customFormat="false" ht="15" hidden="false" customHeight="false" outlineLevel="0" collapsed="false">
      <c r="A20" s="12" t="str">
        <f aca="false">'Price Data'!B10</f>
        <v>Vegetables</v>
      </c>
      <c r="B20" s="12" t="str">
        <f aca="false">'Price Data'!C10</f>
        <v>Pumpkin</v>
      </c>
      <c r="C20" s="43" t="n">
        <f aca="false">'Price Data'!M10</f>
        <v>-0.431818181818182</v>
      </c>
      <c r="D20" s="43" t="n">
        <f aca="false">'Price Data'!N10</f>
        <v>-0.621928166351607</v>
      </c>
    </row>
    <row r="21" customFormat="false" ht="15" hidden="false" customHeight="false" outlineLevel="0" collapsed="false">
      <c r="A21" s="12" t="str">
        <f aca="false">'Price Data'!B11</f>
        <v>Vegetables</v>
      </c>
      <c r="B21" s="12" t="str">
        <f aca="false">'Price Data'!C11</f>
        <v>Red Cabbage</v>
      </c>
      <c r="C21" s="43" t="n">
        <f aca="false">'Price Data'!M11</f>
        <v>-0.499499499499499</v>
      </c>
      <c r="D21" s="43" t="n">
        <f aca="false">'Price Data'!N11</f>
        <v>-0.499499499499499</v>
      </c>
    </row>
    <row r="22" customFormat="false" ht="15" hidden="false" customHeight="false" outlineLevel="0" collapsed="false">
      <c r="A22" s="12" t="str">
        <f aca="false">'Price Data'!B12</f>
        <v>Vegetables</v>
      </c>
      <c r="B22" s="12" t="str">
        <f aca="false">'Price Data'!C12</f>
        <v>Red Onions</v>
      </c>
      <c r="C22" s="43" t="n">
        <f aca="false">'Price Data'!M12</f>
        <v>-0.436026936026936</v>
      </c>
      <c r="D22" s="43" t="n">
        <f aca="false">'Price Data'!N12</f>
        <v>-0.624649859943978</v>
      </c>
    </row>
    <row r="23" customFormat="false" ht="15" hidden="false" customHeight="false" outlineLevel="0" collapsed="false">
      <c r="A23" s="12" t="str">
        <f aca="false">'Price Data'!B13</f>
        <v>Vegetables</v>
      </c>
      <c r="B23" s="12" t="str">
        <f aca="false">'Price Data'!C13</f>
        <v>English Potatoes (Medium)</v>
      </c>
      <c r="C23" s="43" t="n">
        <f aca="false">'Price Data'!M13</f>
        <v>-0.111111111111111</v>
      </c>
      <c r="D23" s="43" t="n">
        <f aca="false">'Price Data'!N13</f>
        <v>-0.227799227799228</v>
      </c>
    </row>
    <row r="24" customFormat="false" ht="15" hidden="false" customHeight="false" outlineLevel="0" collapsed="false">
      <c r="A24" s="12" t="str">
        <f aca="false">'Price Data'!B14</f>
        <v>Vegetables</v>
      </c>
      <c r="B24" s="12" t="str">
        <f aca="false">'Price Data'!C14</f>
        <v>Cucumbers</v>
      </c>
      <c r="C24" s="43" t="n">
        <f aca="false">'Price Data'!M14</f>
        <v>0.537340619307832</v>
      </c>
      <c r="D24" s="43" t="n">
        <f aca="false">'Price Data'!N14</f>
        <v>0.595463137996219</v>
      </c>
    </row>
    <row r="25" customFormat="false" ht="15" hidden="false" customHeight="false" outlineLevel="0" collapsed="false">
      <c r="A25" s="12" t="str">
        <f aca="false">'Price Data'!B15</f>
        <v>Vegetables</v>
      </c>
      <c r="B25" s="12" t="str">
        <f aca="false">'Price Data'!C15</f>
        <v>Zucchini</v>
      </c>
      <c r="C25" s="43" t="n">
        <f aca="false">'Price Data'!M15</f>
        <v>-0.545040946314832</v>
      </c>
      <c r="D25" s="43" t="n">
        <f aca="false">'Price Data'!N15</f>
        <v>-0.659632402995235</v>
      </c>
    </row>
    <row r="26" customFormat="false" ht="15" hidden="false" customHeight="false" outlineLevel="0" collapsed="false">
      <c r="A26" s="12" t="str">
        <f aca="false">'Price Data'!B16</f>
        <v>Vegetables</v>
      </c>
      <c r="B26" s="12" t="str">
        <f aca="false">'Price Data'!C16</f>
        <v>Carrots</v>
      </c>
      <c r="C26" s="43" t="n">
        <f aca="false">'Price Data'!M16</f>
        <v>-0.529667149059334</v>
      </c>
      <c r="D26" s="43" t="n">
        <f aca="false">'Price Data'!N16</f>
        <v>-0.242056555269923</v>
      </c>
    </row>
    <row r="27" customFormat="false" ht="15" hidden="false" customHeight="false" outlineLevel="0" collapsed="false">
      <c r="A27" s="12" t="str">
        <f aca="false">'Price Data'!B18</f>
        <v>Fruits</v>
      </c>
      <c r="B27" s="12" t="str">
        <f aca="false">'Price Data'!C18</f>
        <v>Tomatoes</v>
      </c>
      <c r="C27" s="43" t="n">
        <f aca="false">'Price Data'!M18</f>
        <v>-0.105691056910569</v>
      </c>
      <c r="D27" s="43" t="n">
        <f aca="false">'Price Data'!N18</f>
        <v>-0.0460306871247498</v>
      </c>
    </row>
    <row r="28" customFormat="false" ht="15" hidden="false" customHeight="false" outlineLevel="0" collapsed="false">
      <c r="A28" s="12" t="str">
        <f aca="false">'Price Data'!B19</f>
        <v>Fruits</v>
      </c>
      <c r="B28" s="12" t="str">
        <f aca="false">'Price Data'!C19</f>
        <v>Red Apples</v>
      </c>
      <c r="C28" s="43" t="n">
        <f aca="false">'Price Data'!M19</f>
        <v>0.669449081803005</v>
      </c>
      <c r="D28" s="43" t="n">
        <f aca="false">'Price Data'!N19</f>
        <v>0.449275362318841</v>
      </c>
    </row>
    <row r="29" customFormat="false" ht="15" hidden="false" customHeight="false" outlineLevel="0" collapsed="false">
      <c r="A29" s="12" t="str">
        <f aca="false">'Price Data'!B20</f>
        <v>Fruits</v>
      </c>
      <c r="B29" s="12" t="str">
        <f aca="false">'Price Data'!C20</f>
        <v>Green Apples</v>
      </c>
      <c r="C29" s="43" t="n">
        <f aca="false">'Price Data'!M20</f>
        <v>-0.396984924623116</v>
      </c>
      <c r="D29" s="43" t="n">
        <f aca="false">'Price Data'!N20</f>
        <v>-0.194630872483222</v>
      </c>
    </row>
    <row r="30" customFormat="false" ht="15" hidden="false" customHeight="false" outlineLevel="0" collapsed="false">
      <c r="A30" s="12" t="str">
        <f aca="false">'Price Data'!B21</f>
        <v>Fruits</v>
      </c>
      <c r="B30" s="12" t="str">
        <f aca="false">'Price Data'!C21</f>
        <v>Oranges</v>
      </c>
      <c r="C30" s="43" t="n">
        <f aca="false">'Price Data'!M21</f>
        <v>-0.328859060402685</v>
      </c>
      <c r="D30" s="43" t="n">
        <f aca="false">'Price Data'!N21</f>
        <v>-0.371069182389937</v>
      </c>
    </row>
    <row r="31" customFormat="false" ht="15" hidden="false" customHeight="false" outlineLevel="0" collapsed="false">
      <c r="A31" s="12" t="str">
        <f aca="false">'Price Data'!B22</f>
        <v>Fruits</v>
      </c>
      <c r="B31" s="12" t="str">
        <f aca="false">'Price Data'!C22</f>
        <v>Red Seedless Grapes</v>
      </c>
      <c r="C31" s="43" t="n">
        <f aca="false">'Price Data'!M22</f>
        <v>-0.0170688640376692</v>
      </c>
      <c r="D31" s="43" t="n">
        <f aca="false">'Price Data'!N22</f>
        <v>-0.120589784096893</v>
      </c>
    </row>
    <row r="32" customFormat="false" ht="15" hidden="false" customHeight="false" outlineLevel="0" collapsed="false">
      <c r="A32" s="12" t="str">
        <f aca="false">'Price Data'!B23</f>
        <v>Fruits</v>
      </c>
      <c r="B32" s="12" t="str">
        <f aca="false">'Price Data'!C23</f>
        <v>Green Seedless Grapes</v>
      </c>
      <c r="C32" s="43" t="n">
        <f aca="false">'Price Data'!M23</f>
        <v>-0.0106635071090048</v>
      </c>
      <c r="D32" s="43" t="n">
        <f aca="false">'Price Data'!N23</f>
        <v>-0.188926663428849</v>
      </c>
    </row>
    <row r="33" customFormat="false" ht="15" hidden="false" customHeight="false" outlineLevel="0" collapsed="false">
      <c r="A33" s="12" t="str">
        <f aca="false">'Price Data'!B24</f>
        <v>Fruits</v>
      </c>
      <c r="B33" s="12" t="str">
        <f aca="false">'Price Data'!C24</f>
        <v>Strawberries</v>
      </c>
      <c r="C33" s="43" t="n">
        <f aca="false">'Price Data'!M24</f>
        <v>-0.00846805234795989</v>
      </c>
      <c r="D33" s="43" t="n">
        <f aca="false">'Price Data'!N24</f>
        <v>-0.303407247160627</v>
      </c>
    </row>
    <row r="34" customFormat="false" ht="15" hidden="false" customHeight="false" outlineLevel="0" collapsed="false">
      <c r="A34" s="12" t="str">
        <f aca="false">'Price Data'!B26</f>
        <v>Fruits</v>
      </c>
      <c r="B34" s="12" t="str">
        <f aca="false">'Price Data'!C26</f>
        <v>Blueberries</v>
      </c>
      <c r="C34" s="43" t="n">
        <f aca="false">'Price Data'!M26</f>
        <v>0.0856856856856858</v>
      </c>
      <c r="D34" s="43" t="n">
        <f aca="false">'Price Data'!N26</f>
        <v>0.974955414012739</v>
      </c>
    </row>
    <row r="35" customFormat="false" ht="15" hidden="false" customHeight="false" outlineLevel="0" collapsed="false">
      <c r="A35" s="12" t="str">
        <f aca="false">'Price Data'!B28</f>
        <v>Fruits</v>
      </c>
      <c r="B35" s="12" t="str">
        <f aca="false">'Price Data'!C28</f>
        <v>Dragonfruit</v>
      </c>
      <c r="C35" s="43" t="n">
        <f aca="false">'Price Data'!M28</f>
        <v>-0.0900818926296634</v>
      </c>
      <c r="D35" s="43" t="n">
        <f aca="false">'Price Data'!N28</f>
        <v>-0.374609130706692</v>
      </c>
    </row>
    <row r="36" customFormat="false" ht="15" hidden="false" customHeight="false" outlineLevel="0" collapsed="false">
      <c r="A36" s="12" t="str">
        <f aca="false">'Price Data'!B29</f>
        <v>Fruits</v>
      </c>
      <c r="B36" s="12" t="str">
        <f aca="false">'Price Data'!C29</f>
        <v>Pears</v>
      </c>
      <c r="C36" s="43" t="n">
        <f aca="false">'Price Data'!M29</f>
        <v>-0.698996655518395</v>
      </c>
      <c r="D36" s="43" t="n">
        <f aca="false">'Price Data'!N29</f>
        <v>-0.395973154362416</v>
      </c>
    </row>
    <row r="37" customFormat="false" ht="15" hidden="false" customHeight="false" outlineLevel="0" collapsed="false">
      <c r="A37" s="12" t="str">
        <f aca="false">'Price Data'!B30</f>
        <v>Fruits</v>
      </c>
      <c r="B37" s="12" t="str">
        <f aca="false">'Price Data'!C30</f>
        <v>Kiwis</v>
      </c>
      <c r="C37" s="43" t="n">
        <f aca="false">'Price Data'!M30</f>
        <v>0.177514792899408</v>
      </c>
      <c r="D37" s="43" t="n">
        <f aca="false">'Price Data'!N30</f>
        <v>0</v>
      </c>
    </row>
    <row r="38" customFormat="false" ht="15" hidden="false" customHeight="false" outlineLevel="0" collapsed="false">
      <c r="A38" s="12" t="str">
        <f aca="false">'Price Data'!B31</f>
        <v>Fruits</v>
      </c>
      <c r="B38" s="12" t="str">
        <f aca="false">'Price Data'!C31</f>
        <v>Lemons</v>
      </c>
      <c r="C38" s="43" t="n">
        <f aca="false">'Price Data'!M31</f>
        <v>-0.165971643035863</v>
      </c>
      <c r="D38" s="43" t="n">
        <f aca="false">'Price Data'!N31</f>
        <v>-0.224806201550388</v>
      </c>
    </row>
    <row r="39" customFormat="false" ht="15" hidden="false" customHeight="false" outlineLevel="0" collapsed="false">
      <c r="A39" s="12" t="str">
        <f aca="false">'Price Data'!B32</f>
        <v>Fruits</v>
      </c>
      <c r="B39" s="12" t="str">
        <f aca="false">'Price Data'!C32</f>
        <v>Limes</v>
      </c>
      <c r="C39" s="43" t="n">
        <f aca="false">'Price Data'!M32</f>
        <v>-0.0702479338842975</v>
      </c>
      <c r="D39" s="43" t="n">
        <f aca="false">'Price Data'!N32</f>
        <v>0.139240506329114</v>
      </c>
    </row>
    <row r="40" customFormat="false" ht="15" hidden="false" customHeight="false" outlineLevel="0" collapsed="false">
      <c r="A40" s="12" t="str">
        <f aca="false">'Price Data'!B33</f>
        <v>Fruits</v>
      </c>
      <c r="B40" s="12" t="str">
        <f aca="false">'Price Data'!C33</f>
        <v>Jalapeno Peppers</v>
      </c>
      <c r="C40" s="43" t="n">
        <f aca="false">'Price Data'!M33</f>
        <v>-0.450354609929078</v>
      </c>
      <c r="D40" s="43" t="n">
        <f aca="false">'Price Data'!N33</f>
        <v>-0.584712371946415</v>
      </c>
    </row>
    <row r="41" customFormat="false" ht="15" hidden="false" customHeight="false" outlineLevel="0" collapsed="false">
      <c r="A41" s="12" t="str">
        <f aca="false">'Price Data'!B34</f>
        <v>Fruits</v>
      </c>
      <c r="B41" s="12" t="str">
        <f aca="false">'Price Data'!C34</f>
        <v>Sweet Pepper</v>
      </c>
      <c r="C41" s="43" t="n">
        <f aca="false">'Price Data'!M34</f>
        <v>0.0283490828237911</v>
      </c>
      <c r="D41" s="43" t="n">
        <f aca="false">'Price Data'!N34</f>
        <v>-0.0745372686343171</v>
      </c>
    </row>
    <row r="42" customFormat="false" ht="15" hidden="false" customHeight="false" outlineLevel="0" collapsed="false">
      <c r="A42" s="12" t="str">
        <f aca="false">'Price Data'!B35</f>
        <v>Fruits</v>
      </c>
      <c r="B42" s="12" t="str">
        <f aca="false">'Price Data'!C35</f>
        <v>Grapefruit</v>
      </c>
      <c r="C42" s="43" t="n">
        <f aca="false">'Price Data'!M35</f>
        <v>0.103678929765886</v>
      </c>
      <c r="D42" s="43" t="n">
        <f aca="false">'Price Data'!N35</f>
        <v>0.00303951367781141</v>
      </c>
    </row>
    <row r="43" customFormat="false" ht="15" hidden="false" customHeight="false" outlineLevel="0" collapsed="false">
      <c r="A43" s="12" t="str">
        <f aca="false">'Price Data'!B37</f>
        <v>Fruits</v>
      </c>
      <c r="B43" s="12" t="str">
        <f aca="false">'Price Data'!C37</f>
        <v>Gala Apple</v>
      </c>
      <c r="C43" s="43" t="n">
        <f aca="false">'Price Data'!M37</f>
        <v>-0.748743718592965</v>
      </c>
      <c r="D43" s="43" t="n">
        <f aca="false">'Price Data'!N37</f>
        <v>-0.655172413793103</v>
      </c>
    </row>
    <row r="44" customFormat="false" ht="15" hidden="false" customHeight="false" outlineLevel="0" collapsed="false">
      <c r="A44" s="12" t="str">
        <f aca="false">'Price Data'!B38</f>
        <v>Fruits</v>
      </c>
      <c r="B44" s="12" t="str">
        <f aca="false">'Price Data'!C38</f>
        <v>Mangoes</v>
      </c>
      <c r="C44" s="43" t="n">
        <f aca="false">'Price Data'!M38</f>
        <v>1.24025974025974</v>
      </c>
      <c r="D44" s="43" t="n">
        <f aca="false">'Price Data'!N38</f>
        <v>0.875</v>
      </c>
    </row>
    <row r="45" customFormat="false" ht="15" hidden="false" customHeight="false" outlineLevel="0" collapsed="false">
      <c r="A45" s="12" t="str">
        <f aca="false">'Price Data'!B39</f>
        <v>Fruits</v>
      </c>
      <c r="B45" s="12" t="str">
        <f aca="false">'Price Data'!C39</f>
        <v>Watermelon</v>
      </c>
      <c r="C45" s="43" t="n">
        <f aca="false">'Price Data'!M39</f>
        <v>-0.356223175965665</v>
      </c>
      <c r="D45" s="43" t="n">
        <f aca="false">'Price Data'!N39</f>
        <v>-0.149338374291115</v>
      </c>
    </row>
    <row r="46" customFormat="false" ht="15" hidden="false" customHeight="false" outlineLevel="0" collapsed="false">
      <c r="A46" s="12" t="str">
        <f aca="false">'Price Data'!B40</f>
        <v>Grocery</v>
      </c>
      <c r="B46" s="12" t="str">
        <f aca="false">'Price Data'!C40</f>
        <v>Cooking Cream</v>
      </c>
      <c r="C46" s="43" t="n">
        <f aca="false">'Price Data'!M40</f>
        <v>-0.422854944209311</v>
      </c>
      <c r="D46" s="43" t="n">
        <f aca="false">'Price Data'!N40</f>
        <v>-0.510603588907015</v>
      </c>
    </row>
    <row r="47" customFormat="false" ht="15" hidden="false" customHeight="false" outlineLevel="0" collapsed="false">
      <c r="A47" s="12" t="str">
        <f aca="false">'Price Data'!B41</f>
        <v>Grocery</v>
      </c>
      <c r="B47" s="12" t="str">
        <f aca="false">'Price Data'!C41</f>
        <v>Whipping Cream</v>
      </c>
      <c r="C47" s="43" t="n">
        <f aca="false">'Price Data'!M41</f>
        <v>-0.422854944209311</v>
      </c>
      <c r="D47" s="43" t="n">
        <f aca="false">'Price Data'!N41</f>
        <v>-0.523052464228935</v>
      </c>
    </row>
    <row r="48" customFormat="false" ht="15" hidden="false" customHeight="false" outlineLevel="0" collapsed="false">
      <c r="A48" s="12" t="str">
        <f aca="false">'Price Data'!B42</f>
        <v>Grocery</v>
      </c>
      <c r="B48" s="12" t="str">
        <f aca="false">'Price Data'!C42</f>
        <v>Oat Milk</v>
      </c>
      <c r="C48" s="43" t="n">
        <f aca="false">'Price Data'!M42</f>
        <v>0.00591715976331364</v>
      </c>
      <c r="D48" s="43" t="n">
        <f aca="false">'Price Data'!N42</f>
        <v>-0.226569608735214</v>
      </c>
    </row>
    <row r="49" customFormat="false" ht="15" hidden="false" customHeight="false" outlineLevel="0" collapsed="false">
      <c r="A49" s="12" t="str">
        <f aca="false">'Price Data'!B43</f>
        <v>Grocery</v>
      </c>
      <c r="B49" s="12" t="str">
        <f aca="false">'Price Data'!C43</f>
        <v>Whole Milk</v>
      </c>
      <c r="C49" s="43" t="n">
        <f aca="false">'Price Data'!M43</f>
        <v>-0.411071849234393</v>
      </c>
      <c r="D49" s="43" t="n">
        <f aca="false">'Price Data'!N43</f>
        <v>-0.431171786120592</v>
      </c>
    </row>
    <row r="50" customFormat="false" ht="15" hidden="false" customHeight="false" outlineLevel="0" collapsed="false">
      <c r="A50" s="12" t="str">
        <f aca="false">'Price Data'!B44</f>
        <v>Grocery</v>
      </c>
      <c r="B50" s="12" t="str">
        <f aca="false">'Price Data'!C44</f>
        <v>Eggs</v>
      </c>
      <c r="C50" s="43" t="n">
        <f aca="false">'Price Data'!M44</f>
        <v>-0.0374331550802138</v>
      </c>
      <c r="D50" s="43" t="n">
        <f aca="false">'Price Data'!N44</f>
        <v>-0.027027027027027</v>
      </c>
    </row>
    <row r="51" customFormat="false" ht="15" hidden="false" customHeight="false" outlineLevel="0" collapsed="false">
      <c r="A51" s="12" t="str">
        <f aca="false">'Price Data'!B45</f>
        <v>Grocery</v>
      </c>
      <c r="B51" s="12" t="str">
        <f aca="false">'Price Data'!C45</f>
        <v>Pepper Mash</v>
      </c>
      <c r="C51" s="43" t="n">
        <f aca="false">'Price Data'!M45</f>
        <v>0.13627027027027</v>
      </c>
      <c r="D51" s="43" t="n">
        <f aca="false">'Price Data'!N45</f>
        <v>0.222222222222222</v>
      </c>
    </row>
    <row r="52" customFormat="false" ht="15" hidden="false" customHeight="false" outlineLevel="0" collapsed="false">
      <c r="A52" s="12" t="str">
        <f aca="false">'Price Data'!B46</f>
        <v>Grocery</v>
      </c>
      <c r="B52" s="12" t="str">
        <f aca="false">'Price Data'!C46</f>
        <v>Local Onions</v>
      </c>
      <c r="C52" s="43" t="n">
        <f aca="false">'Price Data'!M46</f>
        <v>-0.431818181818182</v>
      </c>
      <c r="D52" s="43" t="n">
        <f aca="false">'Price Data'!N46</f>
        <v>-0.49874686716792</v>
      </c>
    </row>
  </sheetData>
  <mergeCells count="2">
    <mergeCell ref="A1:L1"/>
    <mergeCell ref="A2:L2"/>
  </mergeCells>
  <conditionalFormatting sqref="D5:H8">
    <cfRule type="cellIs" priority="2" operator="lessThan" aboveAverage="0" equalAverage="0" bottom="0" percent="0" rank="0" text="" dxfId="8">
      <formula>0</formula>
    </cfRule>
    <cfRule type="cellIs" priority="3" operator="greaterThan"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AF7A"/>
    <pageSetUpPr fitToPage="true"/>
  </sheetPr>
  <dimension ref="A1:A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9.7" hidden="false" customHeight="false" outlineLevel="0" collapsed="false">
      <c r="A1" s="44" t="s">
        <v>191</v>
      </c>
    </row>
    <row r="2" customFormat="false" ht="15" hidden="false" customHeight="false" outlineLevel="0" collapsed="false">
      <c r="A2" s="30" t="s">
        <v>192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2026-09-30T23:13:24Z</dcterms:created>
  <dc:creator>openpyxl</dc:creator>
  <dc:description/>
  <dc:language>en-US</dc:language>
  <cp:lastModifiedBy/>
  <dcterms:modified xsi:type="dcterms:W3CDTF">2026-09-30T23:13:26Z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