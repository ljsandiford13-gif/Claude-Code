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 Data" sheetId="1" state="visible" r:id="rId3"/>
    <sheet name="Summary" sheetId="2" state="visible" r:id="rId4"/>
    <sheet name="Category Analysis" sheetId="3" state="visible" r:id="rId5"/>
    <sheet name="Charts" sheetId="4" state="visible" r:id="rId6"/>
  </sheets>
  <definedNames>
    <definedName function="false" hidden="false" localSheetId="0" name="_xlnm.Print_Titles" vbProcedure="false">'Comparison Data'!$1:$1</definedName>
    <definedName function="false" hidden="true" localSheetId="0" name="_xlnm._FilterDatabase" vbProcedure="false">'Comparison Data'!$A$1:$Q$37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3" authorId="0">
      <text>
        <r>
          <rPr>
            <sz val="10"/>
            <rFont val="Arial"/>
            <family val="2"/>
          </rPr>
          <t xml:space="preserve">Standardised from shelf price 3.89 (1 lb). 1 lb = 0.4536 kg: 3.89 / 0.4536 = 8.576 per kg.</t>
        </r>
      </text>
    </comment>
    <comment ref="L24" authorId="0">
      <text>
        <r>
          <rPr>
            <sz val="10"/>
            <rFont val="Arial"/>
            <family val="2"/>
          </rPr>
          <t xml:space="preserve">Standardised from shelf price 12.69 (340g). 340 g = 0.34 kg: 12.69 / 0.34 = 37.32 per kg.</t>
        </r>
      </text>
    </comment>
  </commentList>
</comments>
</file>

<file path=xl/sharedStrings.xml><?xml version="1.0" encoding="utf-8"?>
<sst xmlns="http://schemas.openxmlformats.org/spreadsheetml/2006/main" count="334" uniqueCount="128">
  <si>
    <t xml:space="preserve">Category</t>
  </si>
  <si>
    <t xml:space="preserve">Food First Product</t>
  </si>
  <si>
    <t xml:space="preserve">Food First Basis</t>
  </si>
  <si>
    <t xml:space="preserve">Food First Std Price (BBD)</t>
  </si>
  <si>
    <t xml:space="preserve">Supermarket A: Quantity/Basis</t>
  </si>
  <si>
    <t xml:space="preserve">Supermarket A Unit</t>
  </si>
  <si>
    <t xml:space="preserve">Supermarket A Shelf Price (BBD)</t>
  </si>
  <si>
    <t xml:space="preserve">Supermarket A Std Price (BBD)</t>
  </si>
  <si>
    <t xml:space="preserve">Supermarket B: Quantity/Basis</t>
  </si>
  <si>
    <t xml:space="preserve">Supermarket B Unit</t>
  </si>
  <si>
    <t xml:space="preserve">Supermarket B Shelf Price (BBD)</t>
  </si>
  <si>
    <t xml:space="preserve">Supermarket B Std Price (BBD)</t>
  </si>
  <si>
    <t xml:space="preserve">Food First vs Supermarket A %</t>
  </si>
  <si>
    <t xml:space="preserve">Food First vs Supermarket B %</t>
  </si>
  <si>
    <t xml:space="preserve">Supermarket A vs Supermarket B %</t>
  </si>
  <si>
    <t xml:space="preserve">Cheapest</t>
  </si>
  <si>
    <t xml:space="preserve">Note</t>
  </si>
  <si>
    <t xml:space="preserve">Vegetables</t>
  </si>
  <si>
    <t xml:space="preserve">Broccoli</t>
  </si>
  <si>
    <t xml:space="preserve">kg</t>
  </si>
  <si>
    <t xml:space="preserve">Kg</t>
  </si>
  <si>
    <t xml:space="preserve">BBD/kg</t>
  </si>
  <si>
    <t xml:space="preserve">Cauliflower</t>
  </si>
  <si>
    <t xml:space="preserve">Romaine Lettuce</t>
  </si>
  <si>
    <t xml:space="preserve">unit</t>
  </si>
  <si>
    <t xml:space="preserve">1 head (0.3 kg)</t>
  </si>
  <si>
    <t xml:space="preserve">BBD/unit</t>
  </si>
  <si>
    <t xml:space="preserve">1 head (0.2 kg)</t>
  </si>
  <si>
    <t xml:space="preserve">Compared per head; recorded head weights differ.</t>
  </si>
  <si>
    <t xml:space="preserve">Iceberg Lettuce</t>
  </si>
  <si>
    <t xml:space="preserve">1 head</t>
  </si>
  <si>
    <t xml:space="preserve">Local Cabbage</t>
  </si>
  <si>
    <t xml:space="preserve">Pumpkin</t>
  </si>
  <si>
    <t xml:space="preserve">Red Cabbage</t>
  </si>
  <si>
    <t xml:space="preserve">Red Onions</t>
  </si>
  <si>
    <t xml:space="preserve">English Potatoes (Medium)</t>
  </si>
  <si>
    <t xml:space="preserve">Cucumbers</t>
  </si>
  <si>
    <t xml:space="preserve">Zucchini</t>
  </si>
  <si>
    <t xml:space="preserve">Carrots</t>
  </si>
  <si>
    <t xml:space="preserve">1 lb</t>
  </si>
  <si>
    <t xml:space="preserve">1 lb = 0.4536 kg: 3.89 / 0.4536 = 8.576 per kg.</t>
  </si>
  <si>
    <t xml:space="preserve">Fruits</t>
  </si>
  <si>
    <t xml:space="preserve">Tomatoes</t>
  </si>
  <si>
    <t xml:space="preserve">Red Apples</t>
  </si>
  <si>
    <t xml:space="preserve">Green Apples</t>
  </si>
  <si>
    <t xml:space="preserve">Oranges</t>
  </si>
  <si>
    <t xml:space="preserve">Red Seedless Grapes</t>
  </si>
  <si>
    <t xml:space="preserve">Green Seedless Grapes</t>
  </si>
  <si>
    <t xml:space="preserve">Strawberries</t>
  </si>
  <si>
    <t xml:space="preserve">Food First unit taken as the same 1 lb pack.</t>
  </si>
  <si>
    <t xml:space="preserve">Dragonfruit</t>
  </si>
  <si>
    <t xml:space="preserve">Pears</t>
  </si>
  <si>
    <t xml:space="preserve">Kiwis</t>
  </si>
  <si>
    <t xml:space="preserve">Jalapeno Peppers</t>
  </si>
  <si>
    <t xml:space="preserve">340g</t>
  </si>
  <si>
    <t xml:space="preserve">340 g = 0.34 kg: 12.69 / 0.34 = 37.32 per kg.</t>
  </si>
  <si>
    <t xml:space="preserve">Sweet Pepper Green</t>
  </si>
  <si>
    <t xml:space="preserve">Supermarkets sell sweet peppers at one price regardless of colour.</t>
  </si>
  <si>
    <t xml:space="preserve">Sweet Pepper Red</t>
  </si>
  <si>
    <t xml:space="preserve">Sweet Pepper Yellow</t>
  </si>
  <si>
    <t xml:space="preserve">Grapefruit</t>
  </si>
  <si>
    <t xml:space="preserve">Gala Apple</t>
  </si>
  <si>
    <t xml:space="preserve">Mangoes</t>
  </si>
  <si>
    <t xml:space="preserve">Watermelon</t>
  </si>
  <si>
    <t xml:space="preserve">Grocery</t>
  </si>
  <si>
    <t xml:space="preserve">Cooking Cream</t>
  </si>
  <si>
    <t xml:space="preserve">litre</t>
  </si>
  <si>
    <t xml:space="preserve">BBD/litre</t>
  </si>
  <si>
    <t xml:space="preserve">Whipping Cream</t>
  </si>
  <si>
    <t xml:space="preserve">Oat Milk</t>
  </si>
  <si>
    <t xml:space="preserve">Whole Milk</t>
  </si>
  <si>
    <t xml:space="preserve">Eggs</t>
  </si>
  <si>
    <t xml:space="preserve">dozen</t>
  </si>
  <si>
    <t xml:space="preserve">BBD/dozen</t>
  </si>
  <si>
    <t xml:space="preserve">Local Onions</t>
  </si>
  <si>
    <t xml:space="preserve">Matched-basket total (sum of standardised prices)</t>
  </si>
  <si>
    <t xml:space="preserve">Legend</t>
  </si>
  <si>
    <t xml:space="preserve">Blue text = recorded price (editable input).  Black = formula.  % difference = first-named store / second-named store - 1; negative = first-named store cheaper.</t>
  </si>
  <si>
    <t xml:space="preserve">Cheapest = lowest standardised price of the three (ties go to Food First, then Supermarket A).  Std price = shelf price converted to the Food First basis; hover a commented cell for the conversion.</t>
  </si>
  <si>
    <t xml:space="preserve">Stores are anonymised per HSFB's undertaking to the retailers: Supermarket A and Supermarket B.</t>
  </si>
  <si>
    <t xml:space="preserve">Metric</t>
  </si>
  <si>
    <t xml:space="preserve">Value</t>
  </si>
  <si>
    <t xml:space="preserve">Total items compared</t>
  </si>
  <si>
    <t xml:space="preserve">Food First cheaper than Supermarket A</t>
  </si>
  <si>
    <t xml:space="preserve">Food First more expensive than Supermarket A</t>
  </si>
  <si>
    <t xml:space="preserve">Food First cheaper than Supermarket B</t>
  </si>
  <si>
    <t xml:space="preserve">Food First more expensive than Supermarket B</t>
  </si>
  <si>
    <t xml:space="preserve">Food First cheapest of all three stores</t>
  </si>
  <si>
    <t xml:space="preserve">Mean % difference, Food First vs Supermarket A</t>
  </si>
  <si>
    <t xml:space="preserve">Median % difference, Food First vs Supermarket A</t>
  </si>
  <si>
    <t xml:space="preserve">Mean % difference, Food First vs Supermarket B</t>
  </si>
  <si>
    <t xml:space="preserve">Median % difference, Food First vs Supermarket B</t>
  </si>
  <si>
    <t xml:space="preserve">Mean % difference, Supermarket A vs Supermarket B</t>
  </si>
  <si>
    <t xml:space="preserve">Matched-basket total, Food First (BBD)</t>
  </si>
  <si>
    <t xml:space="preserve">Matched-basket total, Supermarket A (BBD)</t>
  </si>
  <si>
    <t xml:space="preserve">Matched-basket total, Supermarket B (BBD)</t>
  </si>
  <si>
    <t xml:space="preserve">Basket-total difference, Food First vs Supermarket A</t>
  </si>
  <si>
    <t xml:space="preserve">Basket-total difference, Food First vs Supermarket B</t>
  </si>
  <si>
    <t xml:space="preserve">Cheapest of the three stores</t>
  </si>
  <si>
    <t xml:space="preserve">Items</t>
  </si>
  <si>
    <t xml:space="preserve">Food First</t>
  </si>
  <si>
    <t xml:space="preserve">Supermarket A</t>
  </si>
  <si>
    <t xml:space="preserve">Supermarket B</t>
  </si>
  <si>
    <t xml:space="preserve">Same price: Food First = Supermarket B</t>
  </si>
  <si>
    <t xml:space="preserve">Median % difference, Supermarket A vs Supermarket B</t>
  </si>
  <si>
    <t xml:space="preserve">Supermarket A cheaper than Supermarket B (items)</t>
  </si>
  <si>
    <t xml:space="preserve">Supermarket B cheaper than Supermarket A (items)</t>
  </si>
  <si>
    <t xml:space="preserve">All values are formulas over the Comparison Data tab. Negative % = Food First (or the first-named store) cheaper.</t>
  </si>
  <si>
    <t xml:space="preserve">Items listed</t>
  </si>
  <si>
    <t xml:space="preserve">Items matched</t>
  </si>
  <si>
    <t xml:space="preserve">Mean FF vs Supermarket A</t>
  </si>
  <si>
    <t xml:space="preserve">Median FF vs Supermarket A</t>
  </si>
  <si>
    <t xml:space="preserve">Mean FF vs Supermarket B</t>
  </si>
  <si>
    <t xml:space="preserve">Median FF vs Supermarket B</t>
  </si>
  <si>
    <t xml:space="preserve">Mean Supermarket A vs Supermarket B</t>
  </si>
  <si>
    <t xml:space="preserve">FF cheaper vs Supermarket A</t>
  </si>
  <si>
    <t xml:space="preserve">FF cheaper vs Supermarket B</t>
  </si>
  <si>
    <t xml:space="preserve">FF cheaper than both</t>
  </si>
  <si>
    <t xml:space="preserve">FF cheapest of three</t>
  </si>
  <si>
    <t xml:space="preserve">All</t>
  </si>
  <si>
    <t xml:space="preserve">Items listed = rows in Comparison Data; items matched = rows with a computed % difference (all rows, since excluded products are not in this workbook).</t>
  </si>
  <si>
    <t xml:space="preserve">Category medians use an array formula MEDIAN(IF(...)). Negative % = Food First (or first-named store) cheaper.</t>
  </si>
  <si>
    <t xml:space="preserve">Chart data (feeds the Charts tab)</t>
  </si>
  <si>
    <t xml:space="preserve">Item</t>
  </si>
  <si>
    <t xml:space="preserve">FF vs Supermarket A</t>
  </si>
  <si>
    <t xml:space="preserve">FF vs Supermarket B</t>
  </si>
  <si>
    <t xml:space="preserve">CHARTS</t>
  </si>
  <si>
    <t xml:space="preserve">Bars below zero = Food First cheaper; above zero = Food First more expensive. Charts read live from the other tabs.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</si>
</sst>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;\-0.0%;0.0%"/>
    <numFmt numFmtId="167" formatCode="0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84F9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84F95"/>
        <bgColor rgb="FF0066CC"/>
      </patternFill>
    </fill>
    <fill>
      <patternFill patternType="solid">
        <fgColor rgb="FFFFF7CC"/>
        <bgColor rgb="FFF2F2F2"/>
      </patternFill>
    </fill>
    <fill>
      <patternFill patternType="solid">
        <fgColor rgb="FFF2F2F2"/>
        <bgColor rgb="FFE3EE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84F9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3EEFB"/>
          <bgColor rgb="FF000000"/>
        </patternFill>
      </fill>
    </dxf>
    <dxf>
      <fill>
        <patternFill patternType="solid">
          <fgColor rgb="FFFBE3E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>
          <bgColor rgb="FFE3EEFB"/>
        </patternFill>
      </fill>
    </dxf>
    <dxf>
      <fill>
        <patternFill>
          <bgColor rgb="FFFBE3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7CC"/>
      <rgbColor rgb="FFE3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BE3E3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003366"/>
      <rgbColor rgb="FF1BAF7A"/>
      <rgbColor rgb="FF003300"/>
      <rgbColor rgb="FF333300"/>
      <rgbColor rgb="FF993300"/>
      <rgbColor rgb="FF993366"/>
      <rgbColor rgb="FF184F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price difference by category (Food First vs each supermarket)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Analysis'!D1</c:f>
              <c:strCache>
                <c:ptCount val="1"/>
                <c:pt idx="0">
                  <c:v>Mean FF vs Supermarket A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Analysis'!$A$2:$A$5</c:f>
              <c:strCache>
                <c:ptCount val="4"/>
                <c:pt idx="0">
                  <c:v>Vegetables</c:v>
                </c:pt>
                <c:pt idx="1">
                  <c:v>Fruits</c:v>
                </c:pt>
                <c:pt idx="2">
                  <c:v>Grocery</c:v>
                </c:pt>
                <c:pt idx="3">
                  <c:v>All</c:v>
                </c:pt>
              </c:strCache>
            </c:strRef>
          </c:cat>
          <c:val>
            <c:numRef>
              <c:f>'Category Analysis'!$D$2:$D$5</c:f>
              <c:numCache>
                <c:formatCode>0.0%;\-0.0%;0.0%</c:formatCode>
                <c:ptCount val="4"/>
                <c:pt idx="0">
                  <c:v>-0.284434847967552</c:v>
                </c:pt>
                <c:pt idx="1">
                  <c:v>-0.0427459118966208</c:v>
                </c:pt>
                <c:pt idx="2">
                  <c:v>-0.286685985798016</c:v>
                </c:pt>
                <c:pt idx="3">
                  <c:v>-0.163965569570497</c:v>
                </c:pt>
              </c:numCache>
            </c:numRef>
          </c:val>
        </c:ser>
        <c:ser>
          <c:idx val="1"/>
          <c:order val="1"/>
          <c:tx>
            <c:strRef>
              <c:f>'Category Analysis'!F1</c:f>
              <c:strCache>
                <c:ptCount val="1"/>
                <c:pt idx="0">
                  <c:v>Mean FF vs Supermarket B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Analysis'!$A$2:$A$5</c:f>
              <c:strCache>
                <c:ptCount val="4"/>
                <c:pt idx="0">
                  <c:v>Vegetables</c:v>
                </c:pt>
                <c:pt idx="1">
                  <c:v>Fruits</c:v>
                </c:pt>
                <c:pt idx="2">
                  <c:v>Grocery</c:v>
                </c:pt>
                <c:pt idx="3">
                  <c:v>All</c:v>
                </c:pt>
              </c:strCache>
            </c:strRef>
          </c:cat>
          <c:val>
            <c:numRef>
              <c:f>'Category Analysis'!$F$2:$F$5</c:f>
              <c:numCache>
                <c:formatCode>0.0%;\-0.0%;0.0%</c:formatCode>
                <c:ptCount val="4"/>
                <c:pt idx="0">
                  <c:v>-0.318329178408166</c:v>
                </c:pt>
                <c:pt idx="1">
                  <c:v>-0.118371191495305</c:v>
                </c:pt>
                <c:pt idx="2">
                  <c:v>-0.369528557031117</c:v>
                </c:pt>
                <c:pt idx="3">
                  <c:v>-0.226883414722227</c:v>
                </c:pt>
              </c:numCache>
            </c:numRef>
          </c:val>
        </c:ser>
        <c:gapWidth val="60"/>
        <c:overlap val="-10"/>
        <c:axId val="33136692"/>
        <c:axId val="5202388"/>
      </c:barChart>
      <c:catAx>
        <c:axId val="331366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2388"/>
        <c:crosses val="autoZero"/>
        <c:auto val="1"/>
        <c:lblAlgn val="ctr"/>
        <c:lblOffset val="100"/>
        <c:noMultiLvlLbl val="0"/>
      </c:catAx>
      <c:valAx>
        <c:axId val="5202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366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price difference by category (Food First vs each supermarket)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Analysis'!E1</c:f>
              <c:strCache>
                <c:ptCount val="1"/>
                <c:pt idx="0">
                  <c:v>Median FF vs Supermarket A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Analysis'!$A$2:$A$5</c:f>
              <c:strCache>
                <c:ptCount val="4"/>
                <c:pt idx="0">
                  <c:v>Vegetables</c:v>
                </c:pt>
                <c:pt idx="1">
                  <c:v>Fruits</c:v>
                </c:pt>
                <c:pt idx="2">
                  <c:v>Grocery</c:v>
                </c:pt>
                <c:pt idx="3">
                  <c:v>All</c:v>
                </c:pt>
              </c:strCache>
            </c:strRef>
          </c:cat>
          <c:val>
            <c:numRef>
              <c:f>'Category Analysis'!$E$2:$E$5</c:f>
              <c:numCache>
                <c:formatCode>0.0%;\-0.0%;0.0%</c:formatCode>
                <c:ptCount val="4"/>
                <c:pt idx="0">
                  <c:v>-0.403017977016725</c:v>
                </c:pt>
                <c:pt idx="1">
                  <c:v>-0.013866185573337</c:v>
                </c:pt>
                <c:pt idx="2">
                  <c:v>-0.416963396721852</c:v>
                </c:pt>
                <c:pt idx="3">
                  <c:v>-0.244120454259434</c:v>
                </c:pt>
              </c:numCache>
            </c:numRef>
          </c:val>
        </c:ser>
        <c:ser>
          <c:idx val="1"/>
          <c:order val="1"/>
          <c:tx>
            <c:strRef>
              <c:f>'Category Analysis'!G1</c:f>
              <c:strCache>
                <c:ptCount val="1"/>
                <c:pt idx="0">
                  <c:v>Median FF vs Supermarket B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Analysis'!$A$2:$A$5</c:f>
              <c:strCache>
                <c:ptCount val="4"/>
                <c:pt idx="0">
                  <c:v>Vegetables</c:v>
                </c:pt>
                <c:pt idx="1">
                  <c:v>Fruits</c:v>
                </c:pt>
                <c:pt idx="2">
                  <c:v>Grocery</c:v>
                </c:pt>
                <c:pt idx="3">
                  <c:v>All</c:v>
                </c:pt>
              </c:strCache>
            </c:strRef>
          </c:cat>
          <c:val>
            <c:numRef>
              <c:f>'Category Analysis'!$G$2:$G$5</c:f>
              <c:numCache>
                <c:formatCode>0.0%;\-0.0%;0.0%</c:formatCode>
                <c:ptCount val="4"/>
                <c:pt idx="0">
                  <c:v>-0.361268897599286</c:v>
                </c:pt>
                <c:pt idx="1">
                  <c:v>-0.134964079194004</c:v>
                </c:pt>
                <c:pt idx="2">
                  <c:v>-0.464959326644256</c:v>
                </c:pt>
                <c:pt idx="3">
                  <c:v>-0.234935061660808</c:v>
                </c:pt>
              </c:numCache>
            </c:numRef>
          </c:val>
        </c:ser>
        <c:gapWidth val="60"/>
        <c:overlap val="-10"/>
        <c:axId val="42554933"/>
        <c:axId val="77642299"/>
      </c:barChart>
      <c:catAx>
        <c:axId val="425549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42299"/>
        <c:crosses val="autoZero"/>
        <c:auto val="1"/>
        <c:lblAlgn val="ctr"/>
        <c:lblOffset val="100"/>
        <c:noMultiLvlLbl val="0"/>
      </c:catAx>
      <c:valAx>
        <c:axId val="77642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549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Number of items where each store is cheapest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"Items"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2a78d6"/>
              </a:solidFill>
              <a:round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Summary!$A$20:$A$22</c:f>
              <c:strCache>
                <c:ptCount val="3"/>
                <c:pt idx="0">
                  <c:v>Food First</c:v>
                </c:pt>
                <c:pt idx="1">
                  <c:v>Supermarket A</c:v>
                </c:pt>
                <c:pt idx="2">
                  <c:v>Supermarket B</c:v>
                </c:pt>
              </c:strCache>
            </c:strRef>
          </c:cat>
          <c:val>
            <c:numRef>
              <c:f>Summary!$B$20:$B$22</c:f>
              <c:numCache>
                <c:formatCode>0</c:formatCode>
                <c:ptCount val="3"/>
                <c:pt idx="0">
                  <c:v>27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</c:ser>
        <c:gapWidth val="80"/>
        <c:overlap val="0"/>
        <c:axId val="69931346"/>
        <c:axId val="42940322"/>
      </c:barChart>
      <c:catAx>
        <c:axId val="69931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40322"/>
        <c:crosses val="autoZero"/>
        <c:auto val="1"/>
        <c:lblAlgn val="ctr"/>
        <c:lblOffset val="100"/>
        <c:noMultiLvlLbl val="0"/>
      </c:catAx>
      <c:valAx>
        <c:axId val="42940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313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Vegetables: Food First price relative to each supermarket (item 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"FF vs Supermarket A"</c:f>
              <c:strCache>
                <c:ptCount val="1"/>
                <c:pt idx="0">
                  <c:v>FF vs Supermarket A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Analysis'!$B$12:$B$23</c:f>
              <c:strCache>
                <c:ptCount val="12"/>
                <c:pt idx="0">
                  <c:v>Broccoli</c:v>
                </c:pt>
                <c:pt idx="1">
                  <c:v>Cauliflower</c:v>
                </c:pt>
                <c:pt idx="2">
                  <c:v>Romaine Lettuce</c:v>
                </c:pt>
                <c:pt idx="3">
                  <c:v>Iceberg Lettuce</c:v>
                </c:pt>
                <c:pt idx="4">
                  <c:v>Local Cabbage</c:v>
                </c:pt>
                <c:pt idx="5">
                  <c:v>Pumpkin</c:v>
                </c:pt>
                <c:pt idx="6">
                  <c:v>Red Cabbage</c:v>
                </c:pt>
                <c:pt idx="7">
                  <c:v>Red Onions</c:v>
                </c:pt>
                <c:pt idx="8">
                  <c:v>English Potatoes (Medium)</c:v>
                </c:pt>
                <c:pt idx="9">
                  <c:v>Cucumbers</c:v>
                </c:pt>
                <c:pt idx="10">
                  <c:v>Zucchini</c:v>
                </c:pt>
                <c:pt idx="11">
                  <c:v>Carrots</c:v>
                </c:pt>
              </c:strCache>
            </c:strRef>
          </c:cat>
          <c:val>
            <c:numRef>
              <c:f>'Category Analysis'!$C$12:$C$23</c:f>
              <c:numCache>
                <c:formatCode>0.0%;\-0.0%;0.0%</c:formatCode>
                <c:ptCount val="12"/>
                <c:pt idx="0">
                  <c:v>-0.066044029352902</c:v>
                </c:pt>
                <c:pt idx="1">
                  <c:v>-0.23949299533022</c:v>
                </c:pt>
                <c:pt idx="2">
                  <c:v>-0.374217772215269</c:v>
                </c:pt>
                <c:pt idx="3">
                  <c:v>-0.248747913188648</c:v>
                </c:pt>
                <c:pt idx="4">
                  <c:v>-0.468892261001518</c:v>
                </c:pt>
                <c:pt idx="5">
                  <c:v>-0.431818181818182</c:v>
                </c:pt>
                <c:pt idx="6">
                  <c:v>-0.499499499499499</c:v>
                </c:pt>
                <c:pt idx="7">
                  <c:v>-0.436026936026936</c:v>
                </c:pt>
                <c:pt idx="8">
                  <c:v>-0.111111111111111</c:v>
                </c:pt>
                <c:pt idx="9">
                  <c:v>0.537340619307832</c:v>
                </c:pt>
                <c:pt idx="10">
                  <c:v>-0.545040946314832</c:v>
                </c:pt>
                <c:pt idx="11">
                  <c:v>-0.529667149059334</c:v>
                </c:pt>
              </c:numCache>
            </c:numRef>
          </c:val>
        </c:ser>
        <c:ser>
          <c:idx val="1"/>
          <c:order val="1"/>
          <c:tx>
            <c:strRef>
              <c:f>"FF vs Supermarket B"</c:f>
              <c:strCache>
                <c:ptCount val="1"/>
                <c:pt idx="0">
                  <c:v>FF vs Supermarket B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Analysis'!$B$12:$B$23</c:f>
              <c:strCache>
                <c:ptCount val="12"/>
                <c:pt idx="0">
                  <c:v>Broccoli</c:v>
                </c:pt>
                <c:pt idx="1">
                  <c:v>Cauliflower</c:v>
                </c:pt>
                <c:pt idx="2">
                  <c:v>Romaine Lettuce</c:v>
                </c:pt>
                <c:pt idx="3">
                  <c:v>Iceberg Lettuce</c:v>
                </c:pt>
                <c:pt idx="4">
                  <c:v>Local Cabbage</c:v>
                </c:pt>
                <c:pt idx="5">
                  <c:v>Pumpkin</c:v>
                </c:pt>
                <c:pt idx="6">
                  <c:v>Red Cabbage</c:v>
                </c:pt>
                <c:pt idx="7">
                  <c:v>Red Onions</c:v>
                </c:pt>
                <c:pt idx="8">
                  <c:v>English Potatoes (Medium)</c:v>
                </c:pt>
                <c:pt idx="9">
                  <c:v>Cucumbers</c:v>
                </c:pt>
                <c:pt idx="10">
                  <c:v>Zucchini</c:v>
                </c:pt>
                <c:pt idx="11">
                  <c:v>Carrots</c:v>
                </c:pt>
              </c:strCache>
            </c:strRef>
          </c:cat>
          <c:val>
            <c:numRef>
              <c:f>'Category Analysis'!$D$12:$D$23</c:f>
              <c:numCache>
                <c:formatCode>0.0%;\-0.0%;0.0%</c:formatCode>
                <c:ptCount val="12"/>
                <c:pt idx="0">
                  <c:v>-0.124452782989368</c:v>
                </c:pt>
                <c:pt idx="1">
                  <c:v>-0.366314619232907</c:v>
                </c:pt>
                <c:pt idx="2">
                  <c:v>-0.136442141623489</c:v>
                </c:pt>
                <c:pt idx="3">
                  <c:v>-0.356223175965665</c:v>
                </c:pt>
                <c:pt idx="4">
                  <c:v>-0.556400506970849</c:v>
                </c:pt>
                <c:pt idx="5">
                  <c:v>-0.621928166351607</c:v>
                </c:pt>
                <c:pt idx="6">
                  <c:v>-0.499499499499499</c:v>
                </c:pt>
                <c:pt idx="7">
                  <c:v>-0.624649859943978</c:v>
                </c:pt>
                <c:pt idx="8">
                  <c:v>-0.227799227799228</c:v>
                </c:pt>
                <c:pt idx="9">
                  <c:v>0.595463137996219</c:v>
                </c:pt>
                <c:pt idx="10">
                  <c:v>-0.659632402995235</c:v>
                </c:pt>
                <c:pt idx="11">
                  <c:v>-0.242070895522388</c:v>
                </c:pt>
              </c:numCache>
            </c:numRef>
          </c:val>
        </c:ser>
        <c:gapWidth val="60"/>
        <c:overlap val="-10"/>
        <c:axId val="37971368"/>
        <c:axId val="45574097"/>
      </c:barChart>
      <c:catAx>
        <c:axId val="379713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74097"/>
        <c:crosses val="autoZero"/>
        <c:auto val="1"/>
        <c:lblAlgn val="ctr"/>
        <c:lblOffset val="100"/>
        <c:noMultiLvlLbl val="0"/>
      </c:catAx>
      <c:valAx>
        <c:axId val="45574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7136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Fruits: Food First price relative to each supermarket (item 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"FF vs Supermarket A"</c:f>
              <c:strCache>
                <c:ptCount val="1"/>
                <c:pt idx="0">
                  <c:v>FF vs Supermarket A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Analysis'!$B$24:$B$41</c:f>
              <c:strCache>
                <c:ptCount val="18"/>
                <c:pt idx="0">
                  <c:v>Tomatoes</c:v>
                </c:pt>
                <c:pt idx="1">
                  <c:v>Red Apples</c:v>
                </c:pt>
                <c:pt idx="2">
                  <c:v>Green Apples</c:v>
                </c:pt>
                <c:pt idx="3">
                  <c:v>Oranges</c:v>
                </c:pt>
                <c:pt idx="4">
                  <c:v>Red Seedless Grapes</c:v>
                </c:pt>
                <c:pt idx="5">
                  <c:v>Green Seedless Grapes</c:v>
                </c:pt>
                <c:pt idx="6">
                  <c:v>Strawberries</c:v>
                </c:pt>
                <c:pt idx="7">
                  <c:v>Dragonfruit</c:v>
                </c:pt>
                <c:pt idx="8">
                  <c:v>Pears</c:v>
                </c:pt>
                <c:pt idx="9">
                  <c:v>Kiwis</c:v>
                </c:pt>
                <c:pt idx="10">
                  <c:v>Jalapeno Peppers</c:v>
                </c:pt>
                <c:pt idx="11">
                  <c:v>Sweet Pepper Green</c:v>
                </c:pt>
                <c:pt idx="12">
                  <c:v>Sweet Pepper Red</c:v>
                </c:pt>
                <c:pt idx="13">
                  <c:v>Sweet Pepper Yellow</c:v>
                </c:pt>
                <c:pt idx="14">
                  <c:v>Grapefruit</c:v>
                </c:pt>
                <c:pt idx="15">
                  <c:v>Gala Apple</c:v>
                </c:pt>
                <c:pt idx="16">
                  <c:v>Mangoes</c:v>
                </c:pt>
                <c:pt idx="17">
                  <c:v>Watermelon</c:v>
                </c:pt>
              </c:strCache>
            </c:strRef>
          </c:cat>
          <c:val>
            <c:numRef>
              <c:f>'Category Analysis'!$C$24:$C$41</c:f>
              <c:numCache>
                <c:formatCode>0.0%;\-0.0%;0.0%</c:formatCode>
                <c:ptCount val="18"/>
                <c:pt idx="0">
                  <c:v>-0.105691056910569</c:v>
                </c:pt>
                <c:pt idx="1">
                  <c:v>0.669449081803005</c:v>
                </c:pt>
                <c:pt idx="2">
                  <c:v>-0.396984924623116</c:v>
                </c:pt>
                <c:pt idx="3">
                  <c:v>-0.328859060402685</c:v>
                </c:pt>
                <c:pt idx="4">
                  <c:v>-0.0170688640376692</c:v>
                </c:pt>
                <c:pt idx="5">
                  <c:v>-0.0106635071090048</c:v>
                </c:pt>
                <c:pt idx="6">
                  <c:v>-0.00846805234795989</c:v>
                </c:pt>
                <c:pt idx="7">
                  <c:v>-0.0900818926296634</c:v>
                </c:pt>
                <c:pt idx="8">
                  <c:v>-0.698996655518395</c:v>
                </c:pt>
                <c:pt idx="9">
                  <c:v>0.177514792899408</c:v>
                </c:pt>
                <c:pt idx="10">
                  <c:v>-0.450354609929078</c:v>
                </c:pt>
                <c:pt idx="11">
                  <c:v>0.0283490828237911</c:v>
                </c:pt>
                <c:pt idx="12">
                  <c:v>0.0839355197331853</c:v>
                </c:pt>
                <c:pt idx="13">
                  <c:v>0.139521956642579</c:v>
                </c:pt>
                <c:pt idx="14">
                  <c:v>0.103678929765886</c:v>
                </c:pt>
                <c:pt idx="15">
                  <c:v>-0.748743718592965</c:v>
                </c:pt>
                <c:pt idx="16">
                  <c:v>1.24025974025974</c:v>
                </c:pt>
                <c:pt idx="17">
                  <c:v>-0.356223175965665</c:v>
                </c:pt>
              </c:numCache>
            </c:numRef>
          </c:val>
        </c:ser>
        <c:ser>
          <c:idx val="1"/>
          <c:order val="1"/>
          <c:tx>
            <c:strRef>
              <c:f>"FF vs Supermarket B"</c:f>
              <c:strCache>
                <c:ptCount val="1"/>
                <c:pt idx="0">
                  <c:v>FF vs Supermarket B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Analysis'!$B$24:$B$41</c:f>
              <c:strCache>
                <c:ptCount val="18"/>
                <c:pt idx="0">
                  <c:v>Tomatoes</c:v>
                </c:pt>
                <c:pt idx="1">
                  <c:v>Red Apples</c:v>
                </c:pt>
                <c:pt idx="2">
                  <c:v>Green Apples</c:v>
                </c:pt>
                <c:pt idx="3">
                  <c:v>Oranges</c:v>
                </c:pt>
                <c:pt idx="4">
                  <c:v>Red Seedless Grapes</c:v>
                </c:pt>
                <c:pt idx="5">
                  <c:v>Green Seedless Grapes</c:v>
                </c:pt>
                <c:pt idx="6">
                  <c:v>Strawberries</c:v>
                </c:pt>
                <c:pt idx="7">
                  <c:v>Dragonfruit</c:v>
                </c:pt>
                <c:pt idx="8">
                  <c:v>Pears</c:v>
                </c:pt>
                <c:pt idx="9">
                  <c:v>Kiwis</c:v>
                </c:pt>
                <c:pt idx="10">
                  <c:v>Jalapeno Peppers</c:v>
                </c:pt>
                <c:pt idx="11">
                  <c:v>Sweet Pepper Green</c:v>
                </c:pt>
                <c:pt idx="12">
                  <c:v>Sweet Pepper Red</c:v>
                </c:pt>
                <c:pt idx="13">
                  <c:v>Sweet Pepper Yellow</c:v>
                </c:pt>
                <c:pt idx="14">
                  <c:v>Grapefruit</c:v>
                </c:pt>
                <c:pt idx="15">
                  <c:v>Gala Apple</c:v>
                </c:pt>
                <c:pt idx="16">
                  <c:v>Mangoes</c:v>
                </c:pt>
                <c:pt idx="17">
                  <c:v>Watermelon</c:v>
                </c:pt>
              </c:strCache>
            </c:strRef>
          </c:cat>
          <c:val>
            <c:numRef>
              <c:f>'Category Analysis'!$D$24:$D$41</c:f>
              <c:numCache>
                <c:formatCode>0.0%;\-0.0%;0.0%</c:formatCode>
                <c:ptCount val="18"/>
                <c:pt idx="0">
                  <c:v>-0.0460306871247498</c:v>
                </c:pt>
                <c:pt idx="1">
                  <c:v>0.449275362318841</c:v>
                </c:pt>
                <c:pt idx="2">
                  <c:v>-0.194630872483222</c:v>
                </c:pt>
                <c:pt idx="3">
                  <c:v>-0.371069182389937</c:v>
                </c:pt>
                <c:pt idx="4">
                  <c:v>-0.120589784096893</c:v>
                </c:pt>
                <c:pt idx="5">
                  <c:v>-0.188926663428849</c:v>
                </c:pt>
                <c:pt idx="6">
                  <c:v>-0.303407247160627</c:v>
                </c:pt>
                <c:pt idx="7">
                  <c:v>-0.374609130706692</c:v>
                </c:pt>
                <c:pt idx="8">
                  <c:v>-0.395973154362416</c:v>
                </c:pt>
                <c:pt idx="9">
                  <c:v>0</c:v>
                </c:pt>
                <c:pt idx="10">
                  <c:v>-0.584712044690343</c:v>
                </c:pt>
                <c:pt idx="11">
                  <c:v>-0.0745372686343171</c:v>
                </c:pt>
                <c:pt idx="12">
                  <c:v>-0.024512256128064</c:v>
                </c:pt>
                <c:pt idx="13">
                  <c:v>0.0255127563781892</c:v>
                </c:pt>
                <c:pt idx="14">
                  <c:v>0.00303951367781141</c:v>
                </c:pt>
                <c:pt idx="15">
                  <c:v>-0.655172413793103</c:v>
                </c:pt>
                <c:pt idx="16">
                  <c:v>0.875</c:v>
                </c:pt>
                <c:pt idx="17">
                  <c:v>-0.149338374291115</c:v>
                </c:pt>
              </c:numCache>
            </c:numRef>
          </c:val>
        </c:ser>
        <c:gapWidth val="60"/>
        <c:overlap val="-10"/>
        <c:axId val="75015613"/>
        <c:axId val="94752647"/>
      </c:barChart>
      <c:catAx>
        <c:axId val="7501561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52647"/>
        <c:crosses val="autoZero"/>
        <c:auto val="1"/>
        <c:lblAlgn val="ctr"/>
        <c:lblOffset val="100"/>
        <c:noMultiLvlLbl val="0"/>
      </c:catAx>
      <c:valAx>
        <c:axId val="94752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1561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Grocery: Food First price relative to each supermarket (item level)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"FF vs Supermarket A"</c:f>
              <c:strCache>
                <c:ptCount val="1"/>
                <c:pt idx="0">
                  <c:v>FF vs Supermarket A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eb683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Analysis'!$B$42:$B$47</c:f>
              <c:strCache>
                <c:ptCount val="6"/>
                <c:pt idx="0">
                  <c:v>Cooking Cream</c:v>
                </c:pt>
                <c:pt idx="1">
                  <c:v>Whipping Cream</c:v>
                </c:pt>
                <c:pt idx="2">
                  <c:v>Oat Milk</c:v>
                </c:pt>
                <c:pt idx="3">
                  <c:v>Whole Milk</c:v>
                </c:pt>
                <c:pt idx="4">
                  <c:v>Eggs</c:v>
                </c:pt>
                <c:pt idx="5">
                  <c:v>Local Onions</c:v>
                </c:pt>
              </c:strCache>
            </c:strRef>
          </c:cat>
          <c:val>
            <c:numRef>
              <c:f>'Category Analysis'!$C$42:$C$47</c:f>
              <c:numCache>
                <c:formatCode>0.0%;\-0.0%;0.0%</c:formatCode>
                <c:ptCount val="6"/>
                <c:pt idx="0">
                  <c:v>-0.422854944209311</c:v>
                </c:pt>
                <c:pt idx="1">
                  <c:v>-0.422854944209311</c:v>
                </c:pt>
                <c:pt idx="2">
                  <c:v>0.00591715976331364</c:v>
                </c:pt>
                <c:pt idx="3">
                  <c:v>-0.411071849234393</c:v>
                </c:pt>
                <c:pt idx="4">
                  <c:v>-0.0374331550802138</c:v>
                </c:pt>
                <c:pt idx="5">
                  <c:v>-0.431818181818182</c:v>
                </c:pt>
              </c:numCache>
            </c:numRef>
          </c:val>
        </c:ser>
        <c:ser>
          <c:idx val="1"/>
          <c:order val="1"/>
          <c:tx>
            <c:strRef>
              <c:f>"FF vs Supermarket B"</c:f>
              <c:strCache>
                <c:ptCount val="1"/>
                <c:pt idx="0">
                  <c:v>FF vs Supermarket B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1baf7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Analysis'!$B$42:$B$47</c:f>
              <c:strCache>
                <c:ptCount val="6"/>
                <c:pt idx="0">
                  <c:v>Cooking Cream</c:v>
                </c:pt>
                <c:pt idx="1">
                  <c:v>Whipping Cream</c:v>
                </c:pt>
                <c:pt idx="2">
                  <c:v>Oat Milk</c:v>
                </c:pt>
                <c:pt idx="3">
                  <c:v>Whole Milk</c:v>
                </c:pt>
                <c:pt idx="4">
                  <c:v>Eggs</c:v>
                </c:pt>
                <c:pt idx="5">
                  <c:v>Local Onions</c:v>
                </c:pt>
              </c:strCache>
            </c:strRef>
          </c:cat>
          <c:val>
            <c:numRef>
              <c:f>'Category Analysis'!$D$42:$D$47</c:f>
              <c:numCache>
                <c:formatCode>0.0%;\-0.0%;0.0%</c:formatCode>
                <c:ptCount val="6"/>
                <c:pt idx="0">
                  <c:v>-0.510603588907015</c:v>
                </c:pt>
                <c:pt idx="1">
                  <c:v>-0.523052464228935</c:v>
                </c:pt>
                <c:pt idx="2">
                  <c:v>-0.226569608735214</c:v>
                </c:pt>
                <c:pt idx="3">
                  <c:v>-0.431171786120592</c:v>
                </c:pt>
                <c:pt idx="4">
                  <c:v>-0.027027027027027</c:v>
                </c:pt>
                <c:pt idx="5">
                  <c:v>-0.49874686716792</c:v>
                </c:pt>
              </c:numCache>
            </c:numRef>
          </c:val>
        </c:ser>
        <c:gapWidth val="60"/>
        <c:overlap val="-10"/>
        <c:axId val="66195950"/>
        <c:axId val="72680004"/>
      </c:barChart>
      <c:catAx>
        <c:axId val="661959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80004"/>
        <c:crosses val="autoZero"/>
        <c:auto val="1"/>
        <c:lblAlgn val="ctr"/>
        <c:lblOffset val="100"/>
        <c:noMultiLvlLbl val="0"/>
      </c:catAx>
      <c:valAx>
        <c:axId val="72680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difference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9595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370080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160920</xdr:rowOff>
    </xdr:from>
    <xdr:to>
      <xdr:col>9</xdr:col>
      <xdr:colOff>370080</xdr:colOff>
      <xdr:row>38</xdr:row>
      <xdr:rowOff>162000</xdr:rowOff>
    </xdr:to>
    <xdr:graphicFrame>
      <xdr:nvGraphicFramePr>
        <xdr:cNvPr id="1" name="Chart 2"/>
        <xdr:cNvGraphicFramePr/>
      </xdr:nvGraphicFramePr>
      <xdr:xfrm>
        <a:off x="0" y="41911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40</xdr:row>
      <xdr:rowOff>160560</xdr:rowOff>
    </xdr:from>
    <xdr:to>
      <xdr:col>6</xdr:col>
      <xdr:colOff>486720</xdr:colOff>
      <xdr:row>55</xdr:row>
      <xdr:rowOff>182880</xdr:rowOff>
    </xdr:to>
    <xdr:graphicFrame>
      <xdr:nvGraphicFramePr>
        <xdr:cNvPr id="2" name="Chart 3"/>
        <xdr:cNvGraphicFramePr/>
      </xdr:nvGraphicFramePr>
      <xdr:xfrm>
        <a:off x="0" y="7810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58</xdr:row>
      <xdr:rowOff>160560</xdr:rowOff>
    </xdr:from>
    <xdr:to>
      <xdr:col>11</xdr:col>
      <xdr:colOff>292680</xdr:colOff>
      <xdr:row>78</xdr:row>
      <xdr:rowOff>22320</xdr:rowOff>
    </xdr:to>
    <xdr:graphicFrame>
      <xdr:nvGraphicFramePr>
        <xdr:cNvPr id="3" name="Chart 4"/>
        <xdr:cNvGraphicFramePr/>
      </xdr:nvGraphicFramePr>
      <xdr:xfrm>
        <a:off x="0" y="11239560"/>
        <a:ext cx="8639640" cy="36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80</xdr:row>
      <xdr:rowOff>160920</xdr:rowOff>
    </xdr:from>
    <xdr:to>
      <xdr:col>11</xdr:col>
      <xdr:colOff>292680</xdr:colOff>
      <xdr:row>106</xdr:row>
      <xdr:rowOff>175320</xdr:rowOff>
    </xdr:to>
    <xdr:graphicFrame>
      <xdr:nvGraphicFramePr>
        <xdr:cNvPr id="4" name="Chart 5"/>
        <xdr:cNvGraphicFramePr/>
      </xdr:nvGraphicFramePr>
      <xdr:xfrm>
        <a:off x="0" y="15430680"/>
        <a:ext cx="8639640" cy="49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109</xdr:row>
      <xdr:rowOff>160560</xdr:rowOff>
    </xdr:from>
    <xdr:to>
      <xdr:col>11</xdr:col>
      <xdr:colOff>292680</xdr:colOff>
      <xdr:row>123</xdr:row>
      <xdr:rowOff>13320</xdr:rowOff>
    </xdr:to>
    <xdr:graphicFrame>
      <xdr:nvGraphicFramePr>
        <xdr:cNvPr id="5" name="Chart 6"/>
        <xdr:cNvGraphicFramePr/>
      </xdr:nvGraphicFramePr>
      <xdr:xfrm>
        <a:off x="0" y="20954880"/>
        <a:ext cx="86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true"/>
  </sheetPr>
  <dimension ref="A1:Q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5" min="13" style="0" width="13"/>
    <col collapsed="false" customWidth="true" hidden="false" outlineLevel="0" max="16" min="16" style="0" width="15"/>
    <col collapsed="false" customWidth="true" hidden="false" outlineLevel="0" max="17" min="17" style="0" width="5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3" t="n">
        <v>14</v>
      </c>
      <c r="E2" s="2" t="s">
        <v>20</v>
      </c>
      <c r="F2" s="2" t="s">
        <v>21</v>
      </c>
      <c r="G2" s="3" t="n">
        <v>14.99</v>
      </c>
      <c r="H2" s="3" t="n">
        <v>14.99</v>
      </c>
      <c r="I2" s="2" t="s">
        <v>20</v>
      </c>
      <c r="J2" s="2" t="s">
        <v>21</v>
      </c>
      <c r="K2" s="3" t="n">
        <v>15.99</v>
      </c>
      <c r="L2" s="3" t="n">
        <v>15.99</v>
      </c>
      <c r="M2" s="4" t="n">
        <f aca="false">D2/H2-1</f>
        <v>-0.066044029352902</v>
      </c>
      <c r="N2" s="4" t="n">
        <f aca="false">D2/L2-1</f>
        <v>-0.124452782989368</v>
      </c>
      <c r="O2" s="4" t="n">
        <f aca="false">H2/L2-1</f>
        <v>-0.0625390869293309</v>
      </c>
      <c r="P2" s="5" t="str">
        <f aca="false">IF(D2&lt;=MIN(H2,L2),"Food First",IF(H2&lt;=L2,"Supermarket A","Supermarket B"))</f>
        <v>Food First</v>
      </c>
      <c r="Q2" s="6"/>
    </row>
    <row r="3" customFormat="false" ht="15" hidden="false" customHeight="false" outlineLevel="0" collapsed="false">
      <c r="A3" s="2" t="s">
        <v>17</v>
      </c>
      <c r="B3" s="2" t="s">
        <v>22</v>
      </c>
      <c r="C3" s="2" t="s">
        <v>19</v>
      </c>
      <c r="D3" s="3" t="n">
        <v>11.4</v>
      </c>
      <c r="E3" s="2" t="s">
        <v>20</v>
      </c>
      <c r="F3" s="2" t="s">
        <v>21</v>
      </c>
      <c r="G3" s="3" t="n">
        <v>14.99</v>
      </c>
      <c r="H3" s="3" t="n">
        <v>14.99</v>
      </c>
      <c r="I3" s="2" t="s">
        <v>20</v>
      </c>
      <c r="J3" s="2" t="s">
        <v>21</v>
      </c>
      <c r="K3" s="3" t="n">
        <v>17.99</v>
      </c>
      <c r="L3" s="3" t="n">
        <v>17.99</v>
      </c>
      <c r="M3" s="4" t="n">
        <f aca="false">D3/H3-1</f>
        <v>-0.23949299533022</v>
      </c>
      <c r="N3" s="4" t="n">
        <f aca="false">D3/L3-1</f>
        <v>-0.366314619232907</v>
      </c>
      <c r="O3" s="4" t="n">
        <f aca="false">H3/L3-1</f>
        <v>-0.166759310728182</v>
      </c>
      <c r="P3" s="5" t="str">
        <f aca="false">IF(D3&lt;=MIN(H3,L3),"Food First",IF(H3&lt;=L3,"Supermarket A","Supermarket B"))</f>
        <v>Food First</v>
      </c>
      <c r="Q3" s="6"/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3" t="n">
        <v>5</v>
      </c>
      <c r="E4" s="2" t="s">
        <v>25</v>
      </c>
      <c r="F4" s="2" t="s">
        <v>26</v>
      </c>
      <c r="G4" s="3" t="n">
        <v>7.99</v>
      </c>
      <c r="H4" s="3" t="n">
        <v>7.99</v>
      </c>
      <c r="I4" s="2" t="s">
        <v>27</v>
      </c>
      <c r="J4" s="2" t="s">
        <v>26</v>
      </c>
      <c r="K4" s="3" t="n">
        <v>5.79</v>
      </c>
      <c r="L4" s="3" t="n">
        <v>5.79</v>
      </c>
      <c r="M4" s="4" t="n">
        <f aca="false">D4/H4-1</f>
        <v>-0.374217772215269</v>
      </c>
      <c r="N4" s="4" t="n">
        <f aca="false">D4/L4-1</f>
        <v>-0.136442141623489</v>
      </c>
      <c r="O4" s="4" t="n">
        <f aca="false">H4/L4-1</f>
        <v>0.379965457685665</v>
      </c>
      <c r="P4" s="5" t="str">
        <f aca="false">IF(D4&lt;=MIN(H4,L4),"Food First",IF(H4&lt;=L4,"Supermarket A","Supermarket B"))</f>
        <v>Food First</v>
      </c>
      <c r="Q4" s="6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24</v>
      </c>
      <c r="D5" s="3" t="n">
        <v>4.5</v>
      </c>
      <c r="E5" s="2" t="s">
        <v>30</v>
      </c>
      <c r="F5" s="2" t="s">
        <v>26</v>
      </c>
      <c r="G5" s="3" t="n">
        <v>5.99</v>
      </c>
      <c r="H5" s="3" t="n">
        <v>5.99</v>
      </c>
      <c r="I5" s="2" t="s">
        <v>30</v>
      </c>
      <c r="J5" s="2" t="s">
        <v>26</v>
      </c>
      <c r="K5" s="3" t="n">
        <v>6.99</v>
      </c>
      <c r="L5" s="3" t="n">
        <v>6.99</v>
      </c>
      <c r="M5" s="4" t="n">
        <f aca="false">D5/H5-1</f>
        <v>-0.248747913188648</v>
      </c>
      <c r="N5" s="4" t="n">
        <f aca="false">D5/L5-1</f>
        <v>-0.356223175965665</v>
      </c>
      <c r="O5" s="4" t="n">
        <f aca="false">H5/L5-1</f>
        <v>-0.143061516452074</v>
      </c>
      <c r="P5" s="5" t="str">
        <f aca="false">IF(D5&lt;=MIN(H5,L5),"Food First",IF(H5&lt;=L5,"Supermarket A","Supermarket B"))</f>
        <v>Food First</v>
      </c>
      <c r="Q5" s="6"/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19</v>
      </c>
      <c r="D6" s="3" t="n">
        <v>3.5</v>
      </c>
      <c r="E6" s="2" t="s">
        <v>20</v>
      </c>
      <c r="F6" s="2" t="s">
        <v>21</v>
      </c>
      <c r="G6" s="3" t="n">
        <v>6.59</v>
      </c>
      <c r="H6" s="3" t="n">
        <v>6.59</v>
      </c>
      <c r="I6" s="2" t="s">
        <v>20</v>
      </c>
      <c r="J6" s="2" t="s">
        <v>21</v>
      </c>
      <c r="K6" s="3" t="n">
        <v>7.89</v>
      </c>
      <c r="L6" s="3" t="n">
        <v>7.89</v>
      </c>
      <c r="M6" s="4" t="n">
        <f aca="false">D6/H6-1</f>
        <v>-0.468892261001518</v>
      </c>
      <c r="N6" s="4" t="n">
        <f aca="false">D6/L6-1</f>
        <v>-0.556400506970849</v>
      </c>
      <c r="O6" s="4" t="n">
        <f aca="false">H6/L6-1</f>
        <v>-0.164765525982256</v>
      </c>
      <c r="P6" s="5" t="str">
        <f aca="false">IF(D6&lt;=MIN(H6,L6),"Food First",IF(H6&lt;=L6,"Supermarket A","Supermarket B"))</f>
        <v>Food First</v>
      </c>
      <c r="Q6" s="6"/>
    </row>
    <row r="7" customFormat="false" ht="15" hidden="false" customHeight="false" outlineLevel="0" collapsed="false">
      <c r="A7" s="2" t="s">
        <v>17</v>
      </c>
      <c r="B7" s="2" t="s">
        <v>32</v>
      </c>
      <c r="C7" s="2" t="s">
        <v>19</v>
      </c>
      <c r="D7" s="3" t="n">
        <v>2</v>
      </c>
      <c r="E7" s="2" t="s">
        <v>20</v>
      </c>
      <c r="F7" s="2" t="s">
        <v>21</v>
      </c>
      <c r="G7" s="3" t="n">
        <v>3.52</v>
      </c>
      <c r="H7" s="3" t="n">
        <v>3.52</v>
      </c>
      <c r="I7" s="2" t="s">
        <v>20</v>
      </c>
      <c r="J7" s="2" t="s">
        <v>21</v>
      </c>
      <c r="K7" s="3" t="n">
        <v>5.29</v>
      </c>
      <c r="L7" s="3" t="n">
        <v>5.29</v>
      </c>
      <c r="M7" s="4" t="n">
        <f aca="false">D7/H7-1</f>
        <v>-0.431818181818182</v>
      </c>
      <c r="N7" s="4" t="n">
        <f aca="false">D7/L7-1</f>
        <v>-0.621928166351607</v>
      </c>
      <c r="O7" s="4" t="n">
        <f aca="false">H7/L7-1</f>
        <v>-0.334593572778828</v>
      </c>
      <c r="P7" s="5" t="str">
        <f aca="false">IF(D7&lt;=MIN(H7,L7),"Food First",IF(H7&lt;=L7,"Supermarket A","Supermarket B"))</f>
        <v>Food First</v>
      </c>
      <c r="Q7" s="6"/>
    </row>
    <row r="8" customFormat="false" ht="15" hidden="false" customHeight="false" outlineLevel="0" collapsed="false">
      <c r="A8" s="2" t="s">
        <v>17</v>
      </c>
      <c r="B8" s="2" t="s">
        <v>33</v>
      </c>
      <c r="C8" s="2" t="s">
        <v>19</v>
      </c>
      <c r="D8" s="3" t="n">
        <v>5</v>
      </c>
      <c r="E8" s="2" t="s">
        <v>20</v>
      </c>
      <c r="F8" s="2" t="s">
        <v>21</v>
      </c>
      <c r="G8" s="3" t="n">
        <v>9.99</v>
      </c>
      <c r="H8" s="3" t="n">
        <v>9.99</v>
      </c>
      <c r="I8" s="2" t="s">
        <v>20</v>
      </c>
      <c r="J8" s="2" t="s">
        <v>21</v>
      </c>
      <c r="K8" s="3" t="n">
        <v>9.99</v>
      </c>
      <c r="L8" s="3" t="n">
        <v>9.99</v>
      </c>
      <c r="M8" s="4" t="n">
        <f aca="false">D8/H8-1</f>
        <v>-0.499499499499499</v>
      </c>
      <c r="N8" s="4" t="n">
        <f aca="false">D8/L8-1</f>
        <v>-0.499499499499499</v>
      </c>
      <c r="O8" s="4" t="n">
        <f aca="false">H8/L8-1</f>
        <v>0</v>
      </c>
      <c r="P8" s="5" t="str">
        <f aca="false">IF(D8&lt;=MIN(H8,L8),"Food First",IF(H8&lt;=L8,"Supermarket A","Supermarket B"))</f>
        <v>Food First</v>
      </c>
      <c r="Q8" s="6"/>
    </row>
    <row r="9" customFormat="false" ht="15" hidden="false" customHeight="false" outlineLevel="0" collapsed="false">
      <c r="A9" s="2" t="s">
        <v>17</v>
      </c>
      <c r="B9" s="2" t="s">
        <v>34</v>
      </c>
      <c r="C9" s="2" t="s">
        <v>19</v>
      </c>
      <c r="D9" s="3" t="n">
        <v>6.7</v>
      </c>
      <c r="E9" s="2" t="s">
        <v>20</v>
      </c>
      <c r="F9" s="2" t="s">
        <v>21</v>
      </c>
      <c r="G9" s="3" t="n">
        <v>11.88</v>
      </c>
      <c r="H9" s="3" t="n">
        <v>11.88</v>
      </c>
      <c r="I9" s="2" t="s">
        <v>20</v>
      </c>
      <c r="J9" s="2" t="s">
        <v>21</v>
      </c>
      <c r="K9" s="3" t="n">
        <v>17.85</v>
      </c>
      <c r="L9" s="3" t="n">
        <v>17.85</v>
      </c>
      <c r="M9" s="4" t="n">
        <f aca="false">D9/H9-1</f>
        <v>-0.436026936026936</v>
      </c>
      <c r="N9" s="4" t="n">
        <f aca="false">D9/L9-1</f>
        <v>-0.624649859943978</v>
      </c>
      <c r="O9" s="4" t="n">
        <f aca="false">H9/L9-1</f>
        <v>-0.334453781512605</v>
      </c>
      <c r="P9" s="5" t="str">
        <f aca="false">IF(D9&lt;=MIN(H9,L9),"Food First",IF(H9&lt;=L9,"Supermarket A","Supermarket B"))</f>
        <v>Food First</v>
      </c>
      <c r="Q9" s="6"/>
    </row>
    <row r="10" customFormat="false" ht="15" hidden="false" customHeight="false" outlineLevel="0" collapsed="false">
      <c r="A10" s="2" t="s">
        <v>17</v>
      </c>
      <c r="B10" s="2" t="s">
        <v>35</v>
      </c>
      <c r="C10" s="2" t="s">
        <v>19</v>
      </c>
      <c r="D10" s="3" t="n">
        <v>2</v>
      </c>
      <c r="E10" s="2" t="s">
        <v>20</v>
      </c>
      <c r="F10" s="2" t="s">
        <v>21</v>
      </c>
      <c r="G10" s="3" t="n">
        <v>2.25</v>
      </c>
      <c r="H10" s="3" t="n">
        <v>2.25</v>
      </c>
      <c r="I10" s="2" t="s">
        <v>20</v>
      </c>
      <c r="J10" s="2" t="s">
        <v>21</v>
      </c>
      <c r="K10" s="3" t="n">
        <v>2.59</v>
      </c>
      <c r="L10" s="3" t="n">
        <v>2.59</v>
      </c>
      <c r="M10" s="4" t="n">
        <f aca="false">D10/H10-1</f>
        <v>-0.111111111111111</v>
      </c>
      <c r="N10" s="4" t="n">
        <f aca="false">D10/L10-1</f>
        <v>-0.227799227799228</v>
      </c>
      <c r="O10" s="4" t="n">
        <f aca="false">H10/L10-1</f>
        <v>-0.131274131274131</v>
      </c>
      <c r="P10" s="5" t="str">
        <f aca="false">IF(D10&lt;=MIN(H10,L10),"Food First",IF(H10&lt;=L10,"Supermarket A","Supermarket B"))</f>
        <v>Food First</v>
      </c>
      <c r="Q10" s="6"/>
    </row>
    <row r="11" customFormat="false" ht="15" hidden="false" customHeight="false" outlineLevel="0" collapsed="false">
      <c r="A11" s="2" t="s">
        <v>17</v>
      </c>
      <c r="B11" s="2" t="s">
        <v>36</v>
      </c>
      <c r="C11" s="2" t="s">
        <v>19</v>
      </c>
      <c r="D11" s="3" t="n">
        <v>8.44</v>
      </c>
      <c r="E11" s="2" t="s">
        <v>20</v>
      </c>
      <c r="F11" s="2" t="s">
        <v>21</v>
      </c>
      <c r="G11" s="3" t="n">
        <v>5.49</v>
      </c>
      <c r="H11" s="3" t="n">
        <v>5.49</v>
      </c>
      <c r="I11" s="2" t="s">
        <v>20</v>
      </c>
      <c r="J11" s="2" t="s">
        <v>21</v>
      </c>
      <c r="K11" s="3" t="n">
        <v>5.29</v>
      </c>
      <c r="L11" s="3" t="n">
        <v>5.29</v>
      </c>
      <c r="M11" s="4" t="n">
        <f aca="false">D11/H11-1</f>
        <v>0.537340619307832</v>
      </c>
      <c r="N11" s="4" t="n">
        <f aca="false">D11/L11-1</f>
        <v>0.595463137996219</v>
      </c>
      <c r="O11" s="4" t="n">
        <f aca="false">H11/L11-1</f>
        <v>0.0378071833648395</v>
      </c>
      <c r="P11" s="5" t="str">
        <f aca="false">IF(D11&lt;=MIN(H11,L11),"Food First",IF(H11&lt;=L11,"Supermarket A","Supermarket B"))</f>
        <v>Supermarket B</v>
      </c>
      <c r="Q11" s="6"/>
    </row>
    <row r="12" customFormat="false" ht="15" hidden="false" customHeight="false" outlineLevel="0" collapsed="false">
      <c r="A12" s="2" t="s">
        <v>17</v>
      </c>
      <c r="B12" s="2" t="s">
        <v>37</v>
      </c>
      <c r="C12" s="2" t="s">
        <v>19</v>
      </c>
      <c r="D12" s="3" t="n">
        <v>5</v>
      </c>
      <c r="E12" s="2" t="s">
        <v>20</v>
      </c>
      <c r="F12" s="2" t="s">
        <v>21</v>
      </c>
      <c r="G12" s="3" t="n">
        <v>10.99</v>
      </c>
      <c r="H12" s="3" t="n">
        <v>10.99</v>
      </c>
      <c r="I12" s="2" t="s">
        <v>20</v>
      </c>
      <c r="J12" s="2" t="s">
        <v>21</v>
      </c>
      <c r="K12" s="3" t="n">
        <v>14.69</v>
      </c>
      <c r="L12" s="3" t="n">
        <v>14.69</v>
      </c>
      <c r="M12" s="4" t="n">
        <f aca="false">D12/H12-1</f>
        <v>-0.545040946314832</v>
      </c>
      <c r="N12" s="4" t="n">
        <f aca="false">D12/L12-1</f>
        <v>-0.659632402995235</v>
      </c>
      <c r="O12" s="4" t="n">
        <f aca="false">H12/L12-1</f>
        <v>-0.251872021783526</v>
      </c>
      <c r="P12" s="5" t="str">
        <f aca="false">IF(D12&lt;=MIN(H12,L12),"Food First",IF(H12&lt;=L12,"Supermarket A","Supermarket B"))</f>
        <v>Food First</v>
      </c>
      <c r="Q12" s="6"/>
    </row>
    <row r="13" customFormat="false" ht="15" hidden="false" customHeight="false" outlineLevel="0" collapsed="false">
      <c r="A13" s="2" t="s">
        <v>17</v>
      </c>
      <c r="B13" s="2" t="s">
        <v>38</v>
      </c>
      <c r="C13" s="2" t="s">
        <v>19</v>
      </c>
      <c r="D13" s="3" t="n">
        <v>6.5</v>
      </c>
      <c r="E13" s="2" t="s">
        <v>20</v>
      </c>
      <c r="F13" s="2" t="s">
        <v>21</v>
      </c>
      <c r="G13" s="3" t="n">
        <v>13.82</v>
      </c>
      <c r="H13" s="3" t="n">
        <v>13.82</v>
      </c>
      <c r="I13" s="2" t="s">
        <v>39</v>
      </c>
      <c r="J13" s="2" t="s">
        <v>21</v>
      </c>
      <c r="K13" s="3" t="n">
        <v>3.89</v>
      </c>
      <c r="L13" s="3" t="n">
        <v>8.576</v>
      </c>
      <c r="M13" s="4" t="n">
        <f aca="false">D13/H13-1</f>
        <v>-0.529667149059334</v>
      </c>
      <c r="N13" s="4" t="n">
        <f aca="false">D13/L13-1</f>
        <v>-0.242070895522388</v>
      </c>
      <c r="O13" s="4" t="n">
        <f aca="false">H13/L13-1</f>
        <v>0.611473880597015</v>
      </c>
      <c r="P13" s="5" t="str">
        <f aca="false">IF(D13&lt;=MIN(H13,L13),"Food First",IF(H13&lt;=L13,"Supermarket A","Supermarket B"))</f>
        <v>Food First</v>
      </c>
      <c r="Q13" s="6" t="s">
        <v>40</v>
      </c>
    </row>
    <row r="14" customFormat="false" ht="15" hidden="false" customHeight="false" outlineLevel="0" collapsed="false">
      <c r="A14" s="2" t="s">
        <v>41</v>
      </c>
      <c r="B14" s="2" t="s">
        <v>42</v>
      </c>
      <c r="C14" s="2" t="s">
        <v>19</v>
      </c>
      <c r="D14" s="3" t="n">
        <v>14.3</v>
      </c>
      <c r="E14" s="2" t="s">
        <v>20</v>
      </c>
      <c r="F14" s="2" t="s">
        <v>21</v>
      </c>
      <c r="G14" s="3" t="n">
        <v>15.99</v>
      </c>
      <c r="H14" s="3" t="n">
        <v>15.99</v>
      </c>
      <c r="I14" s="2" t="s">
        <v>20</v>
      </c>
      <c r="J14" s="2" t="s">
        <v>21</v>
      </c>
      <c r="K14" s="3" t="n">
        <v>14.99</v>
      </c>
      <c r="L14" s="3" t="n">
        <v>14.99</v>
      </c>
      <c r="M14" s="4" t="n">
        <f aca="false">D14/H14-1</f>
        <v>-0.105691056910569</v>
      </c>
      <c r="N14" s="4" t="n">
        <f aca="false">D14/L14-1</f>
        <v>-0.0460306871247498</v>
      </c>
      <c r="O14" s="4" t="n">
        <f aca="false">H14/L14-1</f>
        <v>0.066711140760507</v>
      </c>
      <c r="P14" s="5" t="str">
        <f aca="false">IF(D14&lt;=MIN(H14,L14),"Food First",IF(H14&lt;=L14,"Supermarket A","Supermarket B"))</f>
        <v>Food First</v>
      </c>
      <c r="Q14" s="6"/>
    </row>
    <row r="15" customFormat="false" ht="15" hidden="false" customHeight="false" outlineLevel="0" collapsed="false">
      <c r="A15" s="2" t="s">
        <v>41</v>
      </c>
      <c r="B15" s="2" t="s">
        <v>43</v>
      </c>
      <c r="C15" s="2" t="s">
        <v>24</v>
      </c>
      <c r="D15" s="3" t="n">
        <v>1</v>
      </c>
      <c r="E15" s="2" t="s">
        <v>24</v>
      </c>
      <c r="F15" s="2" t="s">
        <v>26</v>
      </c>
      <c r="G15" s="3" t="n">
        <v>0.599</v>
      </c>
      <c r="H15" s="3" t="n">
        <v>0.599</v>
      </c>
      <c r="I15" s="2" t="s">
        <v>24</v>
      </c>
      <c r="J15" s="2" t="s">
        <v>26</v>
      </c>
      <c r="K15" s="3" t="n">
        <v>0.69</v>
      </c>
      <c r="L15" s="3" t="n">
        <v>0.69</v>
      </c>
      <c r="M15" s="4" t="n">
        <f aca="false">D15/H15-1</f>
        <v>0.669449081803005</v>
      </c>
      <c r="N15" s="4" t="n">
        <f aca="false">D15/L15-1</f>
        <v>0.449275362318841</v>
      </c>
      <c r="O15" s="4" t="n">
        <f aca="false">H15/L15-1</f>
        <v>-0.131884057971014</v>
      </c>
      <c r="P15" s="5" t="str">
        <f aca="false">IF(D15&lt;=MIN(H15,L15),"Food First",IF(H15&lt;=L15,"Supermarket A","Supermarket B"))</f>
        <v>Supermarket A</v>
      </c>
      <c r="Q15" s="6"/>
    </row>
    <row r="16" customFormat="false" ht="15" hidden="false" customHeight="false" outlineLevel="0" collapsed="false">
      <c r="A16" s="2" t="s">
        <v>41</v>
      </c>
      <c r="B16" s="2" t="s">
        <v>44</v>
      </c>
      <c r="C16" s="2" t="s">
        <v>24</v>
      </c>
      <c r="D16" s="3" t="n">
        <v>1.2</v>
      </c>
      <c r="E16" s="2" t="s">
        <v>24</v>
      </c>
      <c r="F16" s="2" t="s">
        <v>26</v>
      </c>
      <c r="G16" s="3" t="n">
        <v>1.99</v>
      </c>
      <c r="H16" s="3" t="n">
        <v>1.99</v>
      </c>
      <c r="I16" s="2" t="s">
        <v>24</v>
      </c>
      <c r="J16" s="2" t="s">
        <v>26</v>
      </c>
      <c r="K16" s="3" t="n">
        <v>1.49</v>
      </c>
      <c r="L16" s="3" t="n">
        <v>1.49</v>
      </c>
      <c r="M16" s="4" t="n">
        <f aca="false">D16/H16-1</f>
        <v>-0.396984924623116</v>
      </c>
      <c r="N16" s="4" t="n">
        <f aca="false">D16/L16-1</f>
        <v>-0.194630872483222</v>
      </c>
      <c r="O16" s="4" t="n">
        <f aca="false">H16/L16-1</f>
        <v>0.335570469798658</v>
      </c>
      <c r="P16" s="5" t="str">
        <f aca="false">IF(D16&lt;=MIN(H16,L16),"Food First",IF(H16&lt;=L16,"Supermarket A","Supermarket B"))</f>
        <v>Food First</v>
      </c>
      <c r="Q16" s="6"/>
    </row>
    <row r="17" customFormat="false" ht="15" hidden="false" customHeight="false" outlineLevel="0" collapsed="false">
      <c r="A17" s="2" t="s">
        <v>41</v>
      </c>
      <c r="B17" s="2" t="s">
        <v>45</v>
      </c>
      <c r="C17" s="2" t="s">
        <v>24</v>
      </c>
      <c r="D17" s="3" t="n">
        <v>1</v>
      </c>
      <c r="E17" s="2" t="s">
        <v>24</v>
      </c>
      <c r="F17" s="2" t="s">
        <v>26</v>
      </c>
      <c r="G17" s="3" t="n">
        <v>1.49</v>
      </c>
      <c r="H17" s="3" t="n">
        <v>1.49</v>
      </c>
      <c r="I17" s="2" t="s">
        <v>24</v>
      </c>
      <c r="J17" s="2" t="s">
        <v>26</v>
      </c>
      <c r="K17" s="3" t="n">
        <v>1.59</v>
      </c>
      <c r="L17" s="3" t="n">
        <v>1.59</v>
      </c>
      <c r="M17" s="4" t="n">
        <f aca="false">D17/H17-1</f>
        <v>-0.328859060402685</v>
      </c>
      <c r="N17" s="4" t="n">
        <f aca="false">D17/L17-1</f>
        <v>-0.371069182389937</v>
      </c>
      <c r="O17" s="4" t="n">
        <f aca="false">H17/L17-1</f>
        <v>-0.0628930817610064</v>
      </c>
      <c r="P17" s="5" t="str">
        <f aca="false">IF(D17&lt;=MIN(H17,L17),"Food First",IF(H17&lt;=L17,"Supermarket A","Supermarket B"))</f>
        <v>Food First</v>
      </c>
      <c r="Q17" s="6"/>
    </row>
    <row r="18" customFormat="false" ht="15" hidden="false" customHeight="false" outlineLevel="0" collapsed="false">
      <c r="A18" s="2" t="s">
        <v>41</v>
      </c>
      <c r="B18" s="2" t="s">
        <v>46</v>
      </c>
      <c r="C18" s="2" t="s">
        <v>19</v>
      </c>
      <c r="D18" s="3" t="n">
        <v>16.7</v>
      </c>
      <c r="E18" s="2" t="s">
        <v>20</v>
      </c>
      <c r="F18" s="2" t="s">
        <v>21</v>
      </c>
      <c r="G18" s="3" t="n">
        <v>16.99</v>
      </c>
      <c r="H18" s="3" t="n">
        <v>16.99</v>
      </c>
      <c r="I18" s="2" t="s">
        <v>20</v>
      </c>
      <c r="J18" s="2" t="s">
        <v>21</v>
      </c>
      <c r="K18" s="3" t="n">
        <v>18.99</v>
      </c>
      <c r="L18" s="3" t="n">
        <v>18.99</v>
      </c>
      <c r="M18" s="4" t="n">
        <f aca="false">D18/H18-1</f>
        <v>-0.0170688640376692</v>
      </c>
      <c r="N18" s="4" t="n">
        <f aca="false">D18/L18-1</f>
        <v>-0.120589784096893</v>
      </c>
      <c r="O18" s="4" t="n">
        <f aca="false">H18/L18-1</f>
        <v>-0.105318588730911</v>
      </c>
      <c r="P18" s="5" t="str">
        <f aca="false">IF(D18&lt;=MIN(H18,L18),"Food First",IF(H18&lt;=L18,"Supermarket A","Supermarket B"))</f>
        <v>Food First</v>
      </c>
      <c r="Q18" s="6"/>
    </row>
    <row r="19" customFormat="false" ht="15" hidden="false" customHeight="false" outlineLevel="0" collapsed="false">
      <c r="A19" s="2" t="s">
        <v>41</v>
      </c>
      <c r="B19" s="2" t="s">
        <v>47</v>
      </c>
      <c r="C19" s="2" t="s">
        <v>19</v>
      </c>
      <c r="D19" s="3" t="n">
        <v>16.7</v>
      </c>
      <c r="E19" s="2" t="s">
        <v>20</v>
      </c>
      <c r="F19" s="2" t="s">
        <v>21</v>
      </c>
      <c r="G19" s="3" t="n">
        <v>16.88</v>
      </c>
      <c r="H19" s="3" t="n">
        <v>16.88</v>
      </c>
      <c r="I19" s="2" t="s">
        <v>20</v>
      </c>
      <c r="J19" s="2" t="s">
        <v>21</v>
      </c>
      <c r="K19" s="3" t="n">
        <v>20.59</v>
      </c>
      <c r="L19" s="3" t="n">
        <v>20.59</v>
      </c>
      <c r="M19" s="4" t="n">
        <f aca="false">D19/H19-1</f>
        <v>-0.0106635071090048</v>
      </c>
      <c r="N19" s="4" t="n">
        <f aca="false">D19/L19-1</f>
        <v>-0.188926663428849</v>
      </c>
      <c r="O19" s="4" t="n">
        <f aca="false">H19/L19-1</f>
        <v>-0.180184555609519</v>
      </c>
      <c r="P19" s="5" t="str">
        <f aca="false">IF(D19&lt;=MIN(H19,L19),"Food First",IF(H19&lt;=L19,"Supermarket A","Supermarket B"))</f>
        <v>Food First</v>
      </c>
      <c r="Q19" s="6"/>
    </row>
    <row r="20" customFormat="false" ht="15" hidden="false" customHeight="false" outlineLevel="0" collapsed="false">
      <c r="A20" s="2" t="s">
        <v>41</v>
      </c>
      <c r="B20" s="2" t="s">
        <v>48</v>
      </c>
      <c r="C20" s="2" t="s">
        <v>24</v>
      </c>
      <c r="D20" s="3" t="n">
        <v>12.88</v>
      </c>
      <c r="E20" s="2" t="s">
        <v>39</v>
      </c>
      <c r="F20" s="2" t="s">
        <v>26</v>
      </c>
      <c r="G20" s="3" t="n">
        <v>12.99</v>
      </c>
      <c r="H20" s="3" t="n">
        <v>12.99</v>
      </c>
      <c r="I20" s="2" t="s">
        <v>39</v>
      </c>
      <c r="J20" s="2" t="s">
        <v>26</v>
      </c>
      <c r="K20" s="3" t="n">
        <v>18.49</v>
      </c>
      <c r="L20" s="3" t="n">
        <v>18.49</v>
      </c>
      <c r="M20" s="4" t="n">
        <f aca="false">D20/H20-1</f>
        <v>-0.00846805234795989</v>
      </c>
      <c r="N20" s="4" t="n">
        <f aca="false">D20/L20-1</f>
        <v>-0.303407247160627</v>
      </c>
      <c r="O20" s="4" t="n">
        <f aca="false">H20/L20-1</f>
        <v>-0.297458085451595</v>
      </c>
      <c r="P20" s="5" t="str">
        <f aca="false">IF(D20&lt;=MIN(H20,L20),"Food First",IF(H20&lt;=L20,"Supermarket A","Supermarket B"))</f>
        <v>Food First</v>
      </c>
      <c r="Q20" s="6" t="s">
        <v>49</v>
      </c>
    </row>
    <row r="21" customFormat="false" ht="15" hidden="false" customHeight="false" outlineLevel="0" collapsed="false">
      <c r="A21" s="2" t="s">
        <v>41</v>
      </c>
      <c r="B21" s="2" t="s">
        <v>50</v>
      </c>
      <c r="C21" s="2" t="s">
        <v>24</v>
      </c>
      <c r="D21" s="3" t="n">
        <v>10</v>
      </c>
      <c r="E21" s="2" t="s">
        <v>24</v>
      </c>
      <c r="F21" s="2" t="s">
        <v>26</v>
      </c>
      <c r="G21" s="3" t="n">
        <v>10.99</v>
      </c>
      <c r="H21" s="3" t="n">
        <v>10.99</v>
      </c>
      <c r="I21" s="2" t="s">
        <v>24</v>
      </c>
      <c r="J21" s="2" t="s">
        <v>26</v>
      </c>
      <c r="K21" s="3" t="n">
        <v>15.99</v>
      </c>
      <c r="L21" s="3" t="n">
        <v>15.99</v>
      </c>
      <c r="M21" s="4" t="n">
        <f aca="false">D21/H21-1</f>
        <v>-0.0900818926296634</v>
      </c>
      <c r="N21" s="4" t="n">
        <f aca="false">D21/L21-1</f>
        <v>-0.374609130706692</v>
      </c>
      <c r="O21" s="4" t="n">
        <f aca="false">H21/L21-1</f>
        <v>-0.312695434646654</v>
      </c>
      <c r="P21" s="5" t="str">
        <f aca="false">IF(D21&lt;=MIN(H21,L21),"Food First",IF(H21&lt;=L21,"Supermarket A","Supermarket B"))</f>
        <v>Food First</v>
      </c>
      <c r="Q21" s="6"/>
    </row>
    <row r="22" customFormat="false" ht="15" hidden="false" customHeight="false" outlineLevel="0" collapsed="false">
      <c r="A22" s="2" t="s">
        <v>41</v>
      </c>
      <c r="B22" s="2" t="s">
        <v>51</v>
      </c>
      <c r="C22" s="2" t="s">
        <v>24</v>
      </c>
      <c r="D22" s="3" t="n">
        <v>0.9</v>
      </c>
      <c r="E22" s="2" t="s">
        <v>24</v>
      </c>
      <c r="F22" s="2" t="s">
        <v>26</v>
      </c>
      <c r="G22" s="3" t="n">
        <v>2.99</v>
      </c>
      <c r="H22" s="3" t="n">
        <v>2.99</v>
      </c>
      <c r="I22" s="2" t="s">
        <v>24</v>
      </c>
      <c r="J22" s="2" t="s">
        <v>26</v>
      </c>
      <c r="K22" s="3" t="n">
        <v>1.49</v>
      </c>
      <c r="L22" s="3" t="n">
        <v>1.49</v>
      </c>
      <c r="M22" s="4" t="n">
        <f aca="false">D22/H22-1</f>
        <v>-0.698996655518395</v>
      </c>
      <c r="N22" s="4" t="n">
        <f aca="false">D22/L22-1</f>
        <v>-0.395973154362416</v>
      </c>
      <c r="O22" s="4" t="n">
        <f aca="false">H22/L22-1</f>
        <v>1.00671140939597</v>
      </c>
      <c r="P22" s="5" t="str">
        <f aca="false">IF(D22&lt;=MIN(H22,L22),"Food First",IF(H22&lt;=L22,"Supermarket A","Supermarket B"))</f>
        <v>Food First</v>
      </c>
      <c r="Q22" s="6"/>
    </row>
    <row r="23" customFormat="false" ht="15" hidden="false" customHeight="false" outlineLevel="0" collapsed="false">
      <c r="A23" s="2" t="s">
        <v>41</v>
      </c>
      <c r="B23" s="2" t="s">
        <v>52</v>
      </c>
      <c r="C23" s="2" t="s">
        <v>24</v>
      </c>
      <c r="D23" s="3" t="n">
        <v>1.99</v>
      </c>
      <c r="E23" s="2" t="s">
        <v>24</v>
      </c>
      <c r="F23" s="2" t="s">
        <v>26</v>
      </c>
      <c r="G23" s="3" t="n">
        <v>1.69</v>
      </c>
      <c r="H23" s="3" t="n">
        <v>1.69</v>
      </c>
      <c r="I23" s="2" t="s">
        <v>24</v>
      </c>
      <c r="J23" s="2" t="s">
        <v>26</v>
      </c>
      <c r="K23" s="3" t="n">
        <v>1.99</v>
      </c>
      <c r="L23" s="3" t="n">
        <v>1.99</v>
      </c>
      <c r="M23" s="4" t="n">
        <f aca="false">D23/H23-1</f>
        <v>0.177514792899408</v>
      </c>
      <c r="N23" s="4" t="n">
        <f aca="false">D23/L23-1</f>
        <v>0</v>
      </c>
      <c r="O23" s="4" t="n">
        <f aca="false">H23/L23-1</f>
        <v>-0.150753768844221</v>
      </c>
      <c r="P23" s="5" t="str">
        <f aca="false">IF(D23&lt;=MIN(H23,L23),"Food First",IF(H23&lt;=L23,"Supermarket A","Supermarket B"))</f>
        <v>Supermarket A</v>
      </c>
      <c r="Q23" s="6"/>
    </row>
    <row r="24" customFormat="false" ht="15" hidden="false" customHeight="false" outlineLevel="0" collapsed="false">
      <c r="A24" s="2" t="s">
        <v>41</v>
      </c>
      <c r="B24" s="2" t="s">
        <v>53</v>
      </c>
      <c r="C24" s="2" t="s">
        <v>19</v>
      </c>
      <c r="D24" s="3" t="n">
        <v>15.5</v>
      </c>
      <c r="E24" s="2" t="s">
        <v>20</v>
      </c>
      <c r="F24" s="2" t="s">
        <v>21</v>
      </c>
      <c r="G24" s="3" t="n">
        <v>28.2</v>
      </c>
      <c r="H24" s="3" t="n">
        <v>28.2</v>
      </c>
      <c r="I24" s="2" t="s">
        <v>54</v>
      </c>
      <c r="J24" s="2" t="s">
        <v>21</v>
      </c>
      <c r="K24" s="3" t="n">
        <v>12.69</v>
      </c>
      <c r="L24" s="3" t="n">
        <v>37.3235</v>
      </c>
      <c r="M24" s="4" t="n">
        <f aca="false">D24/H24-1</f>
        <v>-0.450354609929078</v>
      </c>
      <c r="N24" s="4" t="n">
        <f aca="false">D24/L24-1</f>
        <v>-0.584712044690343</v>
      </c>
      <c r="O24" s="4" t="n">
        <f aca="false">H24/L24-1</f>
        <v>-0.244443849049527</v>
      </c>
      <c r="P24" s="5" t="str">
        <f aca="false">IF(D24&lt;=MIN(H24,L24),"Food First",IF(H24&lt;=L24,"Supermarket A","Supermarket B"))</f>
        <v>Food First</v>
      </c>
      <c r="Q24" s="6" t="s">
        <v>55</v>
      </c>
    </row>
    <row r="25" customFormat="false" ht="15" hidden="false" customHeight="false" outlineLevel="0" collapsed="false">
      <c r="A25" s="2" t="s">
        <v>41</v>
      </c>
      <c r="B25" s="2" t="s">
        <v>56</v>
      </c>
      <c r="C25" s="2" t="s">
        <v>19</v>
      </c>
      <c r="D25" s="3" t="n">
        <v>18.5</v>
      </c>
      <c r="E25" s="2" t="s">
        <v>20</v>
      </c>
      <c r="F25" s="2" t="s">
        <v>21</v>
      </c>
      <c r="G25" s="3" t="n">
        <v>17.99</v>
      </c>
      <c r="H25" s="3" t="n">
        <v>17.99</v>
      </c>
      <c r="I25" s="2" t="s">
        <v>20</v>
      </c>
      <c r="J25" s="2" t="s">
        <v>21</v>
      </c>
      <c r="K25" s="3" t="n">
        <v>19.99</v>
      </c>
      <c r="L25" s="3" t="n">
        <v>19.99</v>
      </c>
      <c r="M25" s="4" t="n">
        <f aca="false">D25/H25-1</f>
        <v>0.0283490828237911</v>
      </c>
      <c r="N25" s="4" t="n">
        <f aca="false">D25/L25-1</f>
        <v>-0.0745372686343171</v>
      </c>
      <c r="O25" s="4" t="n">
        <f aca="false">H25/L25-1</f>
        <v>-0.100050025012506</v>
      </c>
      <c r="P25" s="5" t="str">
        <f aca="false">IF(D25&lt;=MIN(H25,L25),"Food First",IF(H25&lt;=L25,"Supermarket A","Supermarket B"))</f>
        <v>Supermarket A</v>
      </c>
      <c r="Q25" s="6" t="s">
        <v>57</v>
      </c>
    </row>
    <row r="26" customFormat="false" ht="15" hidden="false" customHeight="false" outlineLevel="0" collapsed="false">
      <c r="A26" s="2" t="s">
        <v>41</v>
      </c>
      <c r="B26" s="2" t="s">
        <v>58</v>
      </c>
      <c r="C26" s="2" t="s">
        <v>19</v>
      </c>
      <c r="D26" s="3" t="n">
        <v>19.5</v>
      </c>
      <c r="E26" s="2" t="s">
        <v>20</v>
      </c>
      <c r="F26" s="2" t="s">
        <v>21</v>
      </c>
      <c r="G26" s="3" t="n">
        <v>17.99</v>
      </c>
      <c r="H26" s="3" t="n">
        <v>17.99</v>
      </c>
      <c r="I26" s="2" t="s">
        <v>20</v>
      </c>
      <c r="J26" s="2" t="s">
        <v>21</v>
      </c>
      <c r="K26" s="3" t="n">
        <v>19.99</v>
      </c>
      <c r="L26" s="3" t="n">
        <v>19.99</v>
      </c>
      <c r="M26" s="4" t="n">
        <f aca="false">D26/H26-1</f>
        <v>0.0839355197331853</v>
      </c>
      <c r="N26" s="4" t="n">
        <f aca="false">D26/L26-1</f>
        <v>-0.024512256128064</v>
      </c>
      <c r="O26" s="4" t="n">
        <f aca="false">H26/L26-1</f>
        <v>-0.100050025012506</v>
      </c>
      <c r="P26" s="5" t="str">
        <f aca="false">IF(D26&lt;=MIN(H26,L26),"Food First",IF(H26&lt;=L26,"Supermarket A","Supermarket B"))</f>
        <v>Supermarket A</v>
      </c>
      <c r="Q26" s="6" t="s">
        <v>57</v>
      </c>
    </row>
    <row r="27" customFormat="false" ht="15" hidden="false" customHeight="false" outlineLevel="0" collapsed="false">
      <c r="A27" s="2" t="s">
        <v>41</v>
      </c>
      <c r="B27" s="2" t="s">
        <v>59</v>
      </c>
      <c r="C27" s="2" t="s">
        <v>19</v>
      </c>
      <c r="D27" s="3" t="n">
        <v>20.5</v>
      </c>
      <c r="E27" s="2" t="s">
        <v>20</v>
      </c>
      <c r="F27" s="2" t="s">
        <v>21</v>
      </c>
      <c r="G27" s="3" t="n">
        <v>17.99</v>
      </c>
      <c r="H27" s="3" t="n">
        <v>17.99</v>
      </c>
      <c r="I27" s="2" t="s">
        <v>20</v>
      </c>
      <c r="J27" s="2" t="s">
        <v>21</v>
      </c>
      <c r="K27" s="3" t="n">
        <v>19.99</v>
      </c>
      <c r="L27" s="3" t="n">
        <v>19.99</v>
      </c>
      <c r="M27" s="4" t="n">
        <f aca="false">D27/H27-1</f>
        <v>0.139521956642579</v>
      </c>
      <c r="N27" s="4" t="n">
        <f aca="false">D27/L27-1</f>
        <v>0.0255127563781892</v>
      </c>
      <c r="O27" s="4" t="n">
        <f aca="false">H27/L27-1</f>
        <v>-0.100050025012506</v>
      </c>
      <c r="P27" s="5" t="str">
        <f aca="false">IF(D27&lt;=MIN(H27,L27),"Food First",IF(H27&lt;=L27,"Supermarket A","Supermarket B"))</f>
        <v>Supermarket A</v>
      </c>
      <c r="Q27" s="6" t="s">
        <v>57</v>
      </c>
    </row>
    <row r="28" customFormat="false" ht="15" hidden="false" customHeight="false" outlineLevel="0" collapsed="false">
      <c r="A28" s="2" t="s">
        <v>41</v>
      </c>
      <c r="B28" s="2" t="s">
        <v>60</v>
      </c>
      <c r="C28" s="2" t="s">
        <v>24</v>
      </c>
      <c r="D28" s="3" t="n">
        <v>3.3</v>
      </c>
      <c r="E28" s="2" t="s">
        <v>24</v>
      </c>
      <c r="F28" s="2" t="s">
        <v>26</v>
      </c>
      <c r="G28" s="3" t="n">
        <v>2.99</v>
      </c>
      <c r="H28" s="3" t="n">
        <v>2.99</v>
      </c>
      <c r="I28" s="2" t="s">
        <v>24</v>
      </c>
      <c r="J28" s="2" t="s">
        <v>26</v>
      </c>
      <c r="K28" s="3" t="n">
        <v>3.29</v>
      </c>
      <c r="L28" s="3" t="n">
        <v>3.29</v>
      </c>
      <c r="M28" s="4" t="n">
        <f aca="false">D28/H28-1</f>
        <v>0.103678929765886</v>
      </c>
      <c r="N28" s="4" t="n">
        <f aca="false">D28/L28-1</f>
        <v>0.00303951367781141</v>
      </c>
      <c r="O28" s="4" t="n">
        <f aca="false">H28/L28-1</f>
        <v>-0.0911854103343465</v>
      </c>
      <c r="P28" s="5" t="str">
        <f aca="false">IF(D28&lt;=MIN(H28,L28),"Food First",IF(H28&lt;=L28,"Supermarket A","Supermarket B"))</f>
        <v>Supermarket A</v>
      </c>
      <c r="Q28" s="6"/>
    </row>
    <row r="29" customFormat="false" ht="15" hidden="false" customHeight="false" outlineLevel="0" collapsed="false">
      <c r="A29" s="2" t="s">
        <v>41</v>
      </c>
      <c r="B29" s="2" t="s">
        <v>61</v>
      </c>
      <c r="C29" s="2" t="s">
        <v>24</v>
      </c>
      <c r="D29" s="3" t="n">
        <v>0.5</v>
      </c>
      <c r="E29" s="2" t="s">
        <v>24</v>
      </c>
      <c r="F29" s="2" t="s">
        <v>26</v>
      </c>
      <c r="G29" s="3" t="n">
        <v>1.99</v>
      </c>
      <c r="H29" s="3" t="n">
        <v>1.99</v>
      </c>
      <c r="I29" s="2" t="s">
        <v>24</v>
      </c>
      <c r="J29" s="2" t="s">
        <v>26</v>
      </c>
      <c r="K29" s="3" t="n">
        <v>1.45</v>
      </c>
      <c r="L29" s="3" t="n">
        <v>1.45</v>
      </c>
      <c r="M29" s="4" t="n">
        <f aca="false">D29/H29-1</f>
        <v>-0.748743718592965</v>
      </c>
      <c r="N29" s="4" t="n">
        <f aca="false">D29/L29-1</f>
        <v>-0.655172413793103</v>
      </c>
      <c r="O29" s="4" t="n">
        <f aca="false">H29/L29-1</f>
        <v>0.372413793103448</v>
      </c>
      <c r="P29" s="5" t="str">
        <f aca="false">IF(D29&lt;=MIN(H29,L29),"Food First",IF(H29&lt;=L29,"Supermarket A","Supermarket B"))</f>
        <v>Food First</v>
      </c>
      <c r="Q29" s="6"/>
    </row>
    <row r="30" customFormat="false" ht="15" hidden="false" customHeight="false" outlineLevel="0" collapsed="false">
      <c r="A30" s="2" t="s">
        <v>41</v>
      </c>
      <c r="B30" s="2" t="s">
        <v>62</v>
      </c>
      <c r="C30" s="2" t="s">
        <v>19</v>
      </c>
      <c r="D30" s="3" t="n">
        <v>13.8</v>
      </c>
      <c r="E30" s="2" t="s">
        <v>20</v>
      </c>
      <c r="F30" s="2" t="s">
        <v>21</v>
      </c>
      <c r="G30" s="3" t="n">
        <v>6.16</v>
      </c>
      <c r="H30" s="3" t="n">
        <v>6.16</v>
      </c>
      <c r="I30" s="2" t="s">
        <v>20</v>
      </c>
      <c r="J30" s="2" t="s">
        <v>21</v>
      </c>
      <c r="K30" s="3" t="n">
        <v>7.36</v>
      </c>
      <c r="L30" s="3" t="n">
        <v>7.36</v>
      </c>
      <c r="M30" s="4" t="n">
        <f aca="false">D30/H30-1</f>
        <v>1.24025974025974</v>
      </c>
      <c r="N30" s="4" t="n">
        <f aca="false">D30/L30-1</f>
        <v>0.875</v>
      </c>
      <c r="O30" s="4" t="n">
        <f aca="false">H30/L30-1</f>
        <v>-0.16304347826087</v>
      </c>
      <c r="P30" s="5" t="str">
        <f aca="false">IF(D30&lt;=MIN(H30,L30),"Food First",IF(H30&lt;=L30,"Supermarket A","Supermarket B"))</f>
        <v>Supermarket A</v>
      </c>
      <c r="Q30" s="6"/>
    </row>
    <row r="31" customFormat="false" ht="15" hidden="false" customHeight="false" outlineLevel="0" collapsed="false">
      <c r="A31" s="2" t="s">
        <v>41</v>
      </c>
      <c r="B31" s="2" t="s">
        <v>63</v>
      </c>
      <c r="C31" s="2" t="s">
        <v>19</v>
      </c>
      <c r="D31" s="3" t="n">
        <v>4.5</v>
      </c>
      <c r="E31" s="2" t="s">
        <v>20</v>
      </c>
      <c r="F31" s="2" t="s">
        <v>21</v>
      </c>
      <c r="G31" s="3" t="n">
        <v>6.99</v>
      </c>
      <c r="H31" s="3" t="n">
        <v>6.99</v>
      </c>
      <c r="I31" s="2" t="s">
        <v>20</v>
      </c>
      <c r="J31" s="2" t="s">
        <v>21</v>
      </c>
      <c r="K31" s="3" t="n">
        <v>5.29</v>
      </c>
      <c r="L31" s="3" t="n">
        <v>5.29</v>
      </c>
      <c r="M31" s="4" t="n">
        <f aca="false">D31/H31-1</f>
        <v>-0.356223175965665</v>
      </c>
      <c r="N31" s="4" t="n">
        <f aca="false">D31/L31-1</f>
        <v>-0.149338374291115</v>
      </c>
      <c r="O31" s="4" t="n">
        <f aca="false">H31/L31-1</f>
        <v>0.321361058601134</v>
      </c>
      <c r="P31" s="5" t="str">
        <f aca="false">IF(D31&lt;=MIN(H31,L31),"Food First",IF(H31&lt;=L31,"Supermarket A","Supermarket B"))</f>
        <v>Food First</v>
      </c>
      <c r="Q31" s="6"/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66</v>
      </c>
      <c r="D32" s="3" t="n">
        <v>15</v>
      </c>
      <c r="E32" s="2" t="s">
        <v>66</v>
      </c>
      <c r="F32" s="2" t="s">
        <v>67</v>
      </c>
      <c r="G32" s="3" t="n">
        <v>25.99</v>
      </c>
      <c r="H32" s="3" t="n">
        <v>25.99</v>
      </c>
      <c r="I32" s="2" t="s">
        <v>66</v>
      </c>
      <c r="J32" s="2" t="s">
        <v>67</v>
      </c>
      <c r="K32" s="3" t="n">
        <v>30.65</v>
      </c>
      <c r="L32" s="3" t="n">
        <v>30.65</v>
      </c>
      <c r="M32" s="4" t="n">
        <f aca="false">D32/H32-1</f>
        <v>-0.422854944209311</v>
      </c>
      <c r="N32" s="4" t="n">
        <f aca="false">D32/L32-1</f>
        <v>-0.510603588907015</v>
      </c>
      <c r="O32" s="4" t="n">
        <f aca="false">H32/L32-1</f>
        <v>-0.152039151712887</v>
      </c>
      <c r="P32" s="5" t="str">
        <f aca="false">IF(D32&lt;=MIN(H32,L32),"Food First",IF(H32&lt;=L32,"Supermarket A","Supermarket B"))</f>
        <v>Food First</v>
      </c>
      <c r="Q32" s="6"/>
    </row>
    <row r="33" customFormat="false" ht="15" hidden="false" customHeight="false" outlineLevel="0" collapsed="false">
      <c r="A33" s="2" t="s">
        <v>64</v>
      </c>
      <c r="B33" s="2" t="s">
        <v>68</v>
      </c>
      <c r="C33" s="2" t="s">
        <v>66</v>
      </c>
      <c r="D33" s="3" t="n">
        <v>15</v>
      </c>
      <c r="E33" s="2" t="s">
        <v>66</v>
      </c>
      <c r="F33" s="2" t="s">
        <v>67</v>
      </c>
      <c r="G33" s="3" t="n">
        <v>25.99</v>
      </c>
      <c r="H33" s="3" t="n">
        <v>25.99</v>
      </c>
      <c r="I33" s="2" t="s">
        <v>66</v>
      </c>
      <c r="J33" s="2" t="s">
        <v>67</v>
      </c>
      <c r="K33" s="3" t="n">
        <v>31.45</v>
      </c>
      <c r="L33" s="3" t="n">
        <v>31.45</v>
      </c>
      <c r="M33" s="4" t="n">
        <f aca="false">D33/H33-1</f>
        <v>-0.422854944209311</v>
      </c>
      <c r="N33" s="4" t="n">
        <f aca="false">D33/L33-1</f>
        <v>-0.523052464228935</v>
      </c>
      <c r="O33" s="4" t="n">
        <f aca="false">H33/L33-1</f>
        <v>-0.173608903020668</v>
      </c>
      <c r="P33" s="5" t="str">
        <f aca="false">IF(D33&lt;=MIN(H33,L33),"Food First",IF(H33&lt;=L33,"Supermarket A","Supermarket B"))</f>
        <v>Food First</v>
      </c>
      <c r="Q33" s="6"/>
    </row>
    <row r="34" customFormat="false" ht="15" hidden="false" customHeight="false" outlineLevel="0" collapsed="false">
      <c r="A34" s="2" t="s">
        <v>64</v>
      </c>
      <c r="B34" s="2" t="s">
        <v>69</v>
      </c>
      <c r="C34" s="2" t="s">
        <v>66</v>
      </c>
      <c r="D34" s="3" t="n">
        <v>8.5</v>
      </c>
      <c r="E34" s="2" t="s">
        <v>66</v>
      </c>
      <c r="F34" s="2" t="s">
        <v>67</v>
      </c>
      <c r="G34" s="3" t="n">
        <v>8.45</v>
      </c>
      <c r="H34" s="3" t="n">
        <v>8.45</v>
      </c>
      <c r="I34" s="2" t="s">
        <v>66</v>
      </c>
      <c r="J34" s="2" t="s">
        <v>67</v>
      </c>
      <c r="K34" s="3" t="n">
        <v>10.99</v>
      </c>
      <c r="L34" s="3" t="n">
        <v>10.99</v>
      </c>
      <c r="M34" s="4" t="n">
        <f aca="false">D34/H34-1</f>
        <v>0.00591715976331364</v>
      </c>
      <c r="N34" s="4" t="n">
        <f aca="false">D34/L34-1</f>
        <v>-0.226569608735214</v>
      </c>
      <c r="O34" s="4" t="n">
        <f aca="false">H34/L34-1</f>
        <v>-0.231119199272066</v>
      </c>
      <c r="P34" s="5" t="str">
        <f aca="false">IF(D34&lt;=MIN(H34,L34),"Food First",IF(H34&lt;=L34,"Supermarket A","Supermarket B"))</f>
        <v>Supermarket A</v>
      </c>
      <c r="Q34" s="6"/>
    </row>
    <row r="35" customFormat="false" ht="15" hidden="false" customHeight="false" outlineLevel="0" collapsed="false">
      <c r="A35" s="2" t="s">
        <v>64</v>
      </c>
      <c r="B35" s="2" t="s">
        <v>70</v>
      </c>
      <c r="C35" s="2" t="s">
        <v>66</v>
      </c>
      <c r="D35" s="3" t="n">
        <v>5</v>
      </c>
      <c r="E35" s="2" t="s">
        <v>66</v>
      </c>
      <c r="F35" s="2" t="s">
        <v>67</v>
      </c>
      <c r="G35" s="3" t="n">
        <v>8.49</v>
      </c>
      <c r="H35" s="3" t="n">
        <v>8.49</v>
      </c>
      <c r="I35" s="2" t="s">
        <v>66</v>
      </c>
      <c r="J35" s="2" t="s">
        <v>67</v>
      </c>
      <c r="K35" s="3" t="n">
        <v>8.79</v>
      </c>
      <c r="L35" s="3" t="n">
        <v>8.79</v>
      </c>
      <c r="M35" s="4" t="n">
        <f aca="false">D35/H35-1</f>
        <v>-0.411071849234393</v>
      </c>
      <c r="N35" s="4" t="n">
        <f aca="false">D35/L35-1</f>
        <v>-0.431171786120592</v>
      </c>
      <c r="O35" s="4" t="n">
        <f aca="false">H35/L35-1</f>
        <v>-0.0341296928327644</v>
      </c>
      <c r="P35" s="5" t="str">
        <f aca="false">IF(D35&lt;=MIN(H35,L35),"Food First",IF(H35&lt;=L35,"Supermarket A","Supermarket B"))</f>
        <v>Food First</v>
      </c>
      <c r="Q35" s="6"/>
    </row>
    <row r="36" customFormat="false" ht="15" hidden="false" customHeight="false" outlineLevel="0" collapsed="false">
      <c r="A36" s="2" t="s">
        <v>64</v>
      </c>
      <c r="B36" s="2" t="s">
        <v>71</v>
      </c>
      <c r="C36" s="2" t="s">
        <v>72</v>
      </c>
      <c r="D36" s="3" t="n">
        <v>9</v>
      </c>
      <c r="E36" s="2" t="s">
        <v>72</v>
      </c>
      <c r="F36" s="2" t="s">
        <v>73</v>
      </c>
      <c r="G36" s="3" t="n">
        <v>9.35</v>
      </c>
      <c r="H36" s="3" t="n">
        <v>9.35</v>
      </c>
      <c r="I36" s="2" t="s">
        <v>72</v>
      </c>
      <c r="J36" s="2" t="s">
        <v>73</v>
      </c>
      <c r="K36" s="3" t="n">
        <v>9.25</v>
      </c>
      <c r="L36" s="3" t="n">
        <v>9.25</v>
      </c>
      <c r="M36" s="4" t="n">
        <f aca="false">D36/H36-1</f>
        <v>-0.0374331550802138</v>
      </c>
      <c r="N36" s="4" t="n">
        <f aca="false">D36/L36-1</f>
        <v>-0.027027027027027</v>
      </c>
      <c r="O36" s="4" t="n">
        <f aca="false">H36/L36-1</f>
        <v>0.0108108108108107</v>
      </c>
      <c r="P36" s="5" t="str">
        <f aca="false">IF(D36&lt;=MIN(H36,L36),"Food First",IF(H36&lt;=L36,"Supermarket A","Supermarket B"))</f>
        <v>Food First</v>
      </c>
      <c r="Q36" s="6"/>
    </row>
    <row r="37" customFormat="false" ht="15" hidden="false" customHeight="false" outlineLevel="0" collapsed="false">
      <c r="A37" s="2" t="s">
        <v>64</v>
      </c>
      <c r="B37" s="2" t="s">
        <v>74</v>
      </c>
      <c r="C37" s="2" t="s">
        <v>19</v>
      </c>
      <c r="D37" s="3" t="n">
        <v>2</v>
      </c>
      <c r="E37" s="2" t="s">
        <v>20</v>
      </c>
      <c r="F37" s="2" t="s">
        <v>21</v>
      </c>
      <c r="G37" s="3" t="n">
        <v>3.52</v>
      </c>
      <c r="H37" s="3" t="n">
        <v>3.52</v>
      </c>
      <c r="I37" s="2" t="s">
        <v>20</v>
      </c>
      <c r="J37" s="2" t="s">
        <v>21</v>
      </c>
      <c r="K37" s="3" t="n">
        <v>3.99</v>
      </c>
      <c r="L37" s="3" t="n">
        <v>3.99</v>
      </c>
      <c r="M37" s="4" t="n">
        <f aca="false">D37/H37-1</f>
        <v>-0.431818181818182</v>
      </c>
      <c r="N37" s="4" t="n">
        <f aca="false">D37/L37-1</f>
        <v>-0.49874686716792</v>
      </c>
      <c r="O37" s="4" t="n">
        <f aca="false">H37/L37-1</f>
        <v>-0.117794486215539</v>
      </c>
      <c r="P37" s="5" t="str">
        <f aca="false">IF(D37&lt;=MIN(H37,L37),"Food First",IF(H37&lt;=L37,"Supermarket A","Supermarket B"))</f>
        <v>Food First</v>
      </c>
      <c r="Q37" s="6"/>
    </row>
    <row r="39" customFormat="false" ht="15" hidden="false" customHeight="false" outlineLevel="0" collapsed="false">
      <c r="B39" s="7" t="s">
        <v>75</v>
      </c>
      <c r="D39" s="8" t="n">
        <f aca="false">SUM(D2:D37)</f>
        <v>301.31</v>
      </c>
      <c r="H39" s="8" t="n">
        <f aca="false">SUM(H2:H37)</f>
        <v>373.179</v>
      </c>
      <c r="L39" s="8" t="n">
        <f aca="false">SUM(L2:L37)</f>
        <v>425.0295</v>
      </c>
    </row>
    <row r="41" customFormat="false" ht="15" hidden="false" customHeight="false" outlineLevel="0" collapsed="false">
      <c r="A41" s="7" t="s">
        <v>76</v>
      </c>
    </row>
    <row r="42" customFormat="false" ht="15" hidden="false" customHeight="false" outlineLevel="0" collapsed="false">
      <c r="A42" s="9" t="s">
        <v>77</v>
      </c>
    </row>
    <row r="43" customFormat="false" ht="15" hidden="false" customHeight="false" outlineLevel="0" collapsed="false">
      <c r="A43" s="9" t="s">
        <v>78</v>
      </c>
    </row>
    <row r="44" customFormat="false" ht="15" hidden="false" customHeight="false" outlineLevel="0" collapsed="false">
      <c r="A44" s="9" t="s">
        <v>79</v>
      </c>
    </row>
  </sheetData>
  <autoFilter ref="A1:Q37"/>
  <conditionalFormatting sqref="M2:O37">
    <cfRule type="cellIs" priority="2" operator="lessThan" aboveAverage="0" equalAverage="0" bottom="0" percent="0" rank="0" text="" dxfId="7">
      <formula>0</formula>
    </cfRule>
    <cfRule type="cellIs" priority="3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4F95"/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80</v>
      </c>
      <c r="B1" s="1" t="s">
        <v>81</v>
      </c>
    </row>
    <row r="2" customFormat="false" ht="15" hidden="false" customHeight="false" outlineLevel="0" collapsed="false">
      <c r="A2" s="2" t="s">
        <v>82</v>
      </c>
      <c r="B2" s="10" t="n">
        <f aca="false">COUNTA('Comparison Data'!$A$2:$A$37)</f>
        <v>36</v>
      </c>
    </row>
    <row r="3" customFormat="false" ht="15" hidden="false" customHeight="false" outlineLevel="0" collapsed="false">
      <c r="A3" s="2" t="s">
        <v>83</v>
      </c>
      <c r="B3" s="10" t="n">
        <f aca="false">COUNTIF('Comparison Data'!$M$2:$M$37,"&lt;0")</f>
        <v>27</v>
      </c>
    </row>
    <row r="4" customFormat="false" ht="15" hidden="false" customHeight="false" outlineLevel="0" collapsed="false">
      <c r="A4" s="2" t="s">
        <v>84</v>
      </c>
      <c r="B4" s="10" t="n">
        <f aca="false">COUNTIF('Comparison Data'!$M$2:$M$37,"&gt;0")</f>
        <v>9</v>
      </c>
    </row>
    <row r="5" customFormat="false" ht="15" hidden="false" customHeight="false" outlineLevel="0" collapsed="false">
      <c r="A5" s="2" t="s">
        <v>85</v>
      </c>
      <c r="B5" s="10" t="n">
        <f aca="false">COUNTIF('Comparison Data'!$N$2:$N$37,"&lt;0")</f>
        <v>30</v>
      </c>
    </row>
    <row r="6" customFormat="false" ht="15" hidden="false" customHeight="false" outlineLevel="0" collapsed="false">
      <c r="A6" s="2" t="s">
        <v>86</v>
      </c>
      <c r="B6" s="10" t="n">
        <f aca="false">COUNTIF('Comparison Data'!$N$2:$N$37,"&gt;0")</f>
        <v>5</v>
      </c>
    </row>
    <row r="7" customFormat="false" ht="15" hidden="false" customHeight="false" outlineLevel="0" collapsed="false">
      <c r="A7" s="2" t="s">
        <v>87</v>
      </c>
      <c r="B7" s="10" t="n">
        <f aca="false">COUNTIF('Comparison Data'!$P$2:$P$37,"Food First")</f>
        <v>27</v>
      </c>
    </row>
    <row r="8" customFormat="false" ht="15" hidden="false" customHeight="false" outlineLevel="0" collapsed="false">
      <c r="A8" s="2" t="s">
        <v>88</v>
      </c>
      <c r="B8" s="4" t="n">
        <f aca="false">AVERAGE('Comparison Data'!$M$2:$M$37)</f>
        <v>-0.163965569570497</v>
      </c>
    </row>
    <row r="9" customFormat="false" ht="15" hidden="false" customHeight="false" outlineLevel="0" collapsed="false">
      <c r="A9" s="2" t="s">
        <v>89</v>
      </c>
      <c r="B9" s="4" t="n">
        <f aca="false">MEDIAN('Comparison Data'!$M$2:$M$37)</f>
        <v>-0.244120454259434</v>
      </c>
    </row>
    <row r="10" customFormat="false" ht="15" hidden="false" customHeight="false" outlineLevel="0" collapsed="false">
      <c r="A10" s="2" t="s">
        <v>90</v>
      </c>
      <c r="B10" s="4" t="n">
        <f aca="false">AVERAGE('Comparison Data'!$N$2:$N$37)</f>
        <v>-0.226883414722227</v>
      </c>
    </row>
    <row r="11" customFormat="false" ht="15" hidden="false" customHeight="false" outlineLevel="0" collapsed="false">
      <c r="A11" s="2" t="s">
        <v>91</v>
      </c>
      <c r="B11" s="4" t="n">
        <f aca="false">MEDIAN('Comparison Data'!$N$2:$N$37)</f>
        <v>-0.234935061660808</v>
      </c>
    </row>
    <row r="12" customFormat="false" ht="15" hidden="false" customHeight="false" outlineLevel="0" collapsed="false">
      <c r="A12" s="2" t="s">
        <v>92</v>
      </c>
      <c r="B12" s="4" t="n">
        <f aca="false">AVERAGE('Comparison Data'!$O$2:$O$37)</f>
        <v>-0.0331998767242775</v>
      </c>
    </row>
    <row r="13" customFormat="false" ht="15" hidden="false" customHeight="false" outlineLevel="0" collapsed="false">
      <c r="A13" s="2" t="s">
        <v>93</v>
      </c>
      <c r="B13" s="11" t="n">
        <f aca="false">SUM('Comparison Data'!$D$2:$D$37)</f>
        <v>301.31</v>
      </c>
    </row>
    <row r="14" customFormat="false" ht="15" hidden="false" customHeight="false" outlineLevel="0" collapsed="false">
      <c r="A14" s="2" t="s">
        <v>94</v>
      </c>
      <c r="B14" s="11" t="n">
        <f aca="false">SUM('Comparison Data'!$H$2:$H$37)</f>
        <v>373.179</v>
      </c>
    </row>
    <row r="15" customFormat="false" ht="15" hidden="false" customHeight="false" outlineLevel="0" collapsed="false">
      <c r="A15" s="2" t="s">
        <v>95</v>
      </c>
      <c r="B15" s="11" t="n">
        <f aca="false">SUM('Comparison Data'!$L$2:$L$37)</f>
        <v>425.0295</v>
      </c>
    </row>
    <row r="16" customFormat="false" ht="15" hidden="false" customHeight="false" outlineLevel="0" collapsed="false">
      <c r="A16" s="2" t="s">
        <v>96</v>
      </c>
      <c r="B16" s="4" t="n">
        <f aca="false">B13/B14-1</f>
        <v>-0.192585863620407</v>
      </c>
    </row>
    <row r="17" customFormat="false" ht="15" hidden="false" customHeight="false" outlineLevel="0" collapsed="false">
      <c r="A17" s="2" t="s">
        <v>97</v>
      </c>
      <c r="B17" s="4" t="n">
        <f aca="false">B13/B15-1</f>
        <v>-0.291084501193447</v>
      </c>
    </row>
    <row r="19" customFormat="false" ht="15" hidden="false" customHeight="false" outlineLevel="0" collapsed="false">
      <c r="A19" s="1" t="s">
        <v>98</v>
      </c>
      <c r="B19" s="1" t="s">
        <v>99</v>
      </c>
    </row>
    <row r="20" customFormat="false" ht="15" hidden="false" customHeight="false" outlineLevel="0" collapsed="false">
      <c r="A20" s="2" t="s">
        <v>100</v>
      </c>
      <c r="B20" s="10" t="n">
        <f aca="false">COUNTIF('Comparison Data'!$P$2:$P$37,A20)</f>
        <v>27</v>
      </c>
    </row>
    <row r="21" customFormat="false" ht="15" hidden="false" customHeight="false" outlineLevel="0" collapsed="false">
      <c r="A21" s="2" t="s">
        <v>101</v>
      </c>
      <c r="B21" s="10" t="n">
        <f aca="false">COUNTIF('Comparison Data'!$P$2:$P$37,A21)</f>
        <v>8</v>
      </c>
    </row>
    <row r="22" customFormat="false" ht="15" hidden="false" customHeight="false" outlineLevel="0" collapsed="false">
      <c r="A22" s="2" t="s">
        <v>102</v>
      </c>
      <c r="B22" s="10" t="n">
        <f aca="false">COUNTIF('Comparison Data'!$P$2:$P$37,A22)</f>
        <v>1</v>
      </c>
    </row>
    <row r="24" customFormat="false" ht="15" hidden="false" customHeight="false" outlineLevel="0" collapsed="false">
      <c r="A24" s="2" t="s">
        <v>103</v>
      </c>
      <c r="B24" s="10" t="n">
        <f aca="false">COUNTIF('Comparison Data'!$N$2:$N$37,0)</f>
        <v>1</v>
      </c>
    </row>
    <row r="25" customFormat="false" ht="15" hidden="false" customHeight="false" outlineLevel="0" collapsed="false">
      <c r="A25" s="2" t="s">
        <v>104</v>
      </c>
      <c r="B25" s="4" t="n">
        <f aca="false">MEDIAN('Comparison Data'!$O$2:$O$37)</f>
        <v>-0.111556537473225</v>
      </c>
    </row>
    <row r="26" customFormat="false" ht="15" hidden="false" customHeight="false" outlineLevel="0" collapsed="false">
      <c r="A26" s="2" t="s">
        <v>105</v>
      </c>
      <c r="B26" s="10" t="n">
        <f aca="false">COUNTIF('Comparison Data'!$O$2:$O$37,"&lt;0")</f>
        <v>26</v>
      </c>
    </row>
    <row r="27" customFormat="false" ht="15" hidden="false" customHeight="false" outlineLevel="0" collapsed="false">
      <c r="A27" s="2" t="s">
        <v>106</v>
      </c>
      <c r="B27" s="10" t="n">
        <f aca="false">COUNTIF('Comparison Data'!$O$2:$O$37,"&gt;0")</f>
        <v>9</v>
      </c>
    </row>
    <row r="29" customFormat="false" ht="15" hidden="false" customHeight="false" outlineLevel="0" collapsed="false">
      <c r="A29" s="9" t="s">
        <v>107</v>
      </c>
    </row>
  </sheetData>
  <conditionalFormatting sqref="B8:B12">
    <cfRule type="cellIs" priority="2" operator="lessThan" aboveAverage="0" equalAverage="0" bottom="0" percent="0" rank="0" text="" dxfId="7">
      <formula>0</formula>
    </cfRule>
    <cfRule type="cellIs" priority="3" operator="greaterThan" aboveAverage="0" equalAverage="0" bottom="0" percent="0" rank="0" text="" dxfId="8">
      <formula>0</formula>
    </cfRule>
  </conditionalFormatting>
  <conditionalFormatting sqref="B16:B17">
    <cfRule type="cellIs" priority="4" operator="lessThan" aboveAverage="0" equalAverage="0" bottom="0" percent="0" rank="0" text="" dxfId="7">
      <formula>0</formula>
    </cfRule>
    <cfRule type="cellIs" priority="5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6834"/>
    <pageSetUpPr fitToPage="tru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12" min="4" style="0" width="13"/>
  </cols>
  <sheetData>
    <row r="1" customFormat="false" ht="43.5" hidden="false" customHeight="true" outlineLevel="0" collapsed="false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customFormat="false" ht="15" hidden="false" customHeight="false" outlineLevel="0" collapsed="false">
      <c r="A2" s="2" t="s">
        <v>17</v>
      </c>
      <c r="B2" s="10" t="n">
        <f aca="false">COUNTIF('Comparison Data'!$A$2:$A$37,$A2)</f>
        <v>12</v>
      </c>
      <c r="C2" s="10" t="n">
        <f aca="false">COUNTIFS('Comparison Data'!$A$2:$A$37,$A2,'Comparison Data'!$M$2:$M$37,"&lt;&gt;")</f>
        <v>12</v>
      </c>
      <c r="D2" s="4" t="n">
        <f aca="false">AVERAGEIFS('Comparison Data'!$M$2:$M$37,'Comparison Data'!$A$2:$A$37,$A2)</f>
        <v>-0.284434847967552</v>
      </c>
      <c r="E2" s="4" t="n">
        <f aca="false" t="array" ref="E2:E2">MEDIAN(IF('Comparison Data'!$A$2:$A$37=$A2,'Comparison Data'!$M$2:$M$37))</f>
        <v>-0.403017977016725</v>
      </c>
      <c r="F2" s="4" t="n">
        <f aca="false">AVERAGEIFS('Comparison Data'!$N$2:$N$37,'Comparison Data'!$A$2:$A$37,$A2)</f>
        <v>-0.318329178408166</v>
      </c>
      <c r="G2" s="4" t="n">
        <f aca="false" t="array" ref="G2:G2">MEDIAN(IF('Comparison Data'!$A$2:$A$37=$A2,'Comparison Data'!$N$2:$N$37))</f>
        <v>-0.361268897599286</v>
      </c>
      <c r="H2" s="4" t="n">
        <f aca="false">AVERAGEIFS('Comparison Data'!$O$2:$O$37,'Comparison Data'!$A$2:$A$37,$A2)</f>
        <v>-0.0466727021494512</v>
      </c>
      <c r="I2" s="10" t="n">
        <f aca="false">COUNTIFS('Comparison Data'!$A$2:$A$37,$A2,'Comparison Data'!$M$2:$M$37,"&lt;0")</f>
        <v>11</v>
      </c>
      <c r="J2" s="10" t="n">
        <f aca="false">COUNTIFS('Comparison Data'!$A$2:$A$37,$A2,'Comparison Data'!$N$2:$N$37,"&lt;0")</f>
        <v>11</v>
      </c>
      <c r="K2" s="10" t="n">
        <f aca="false">SUMPRODUCT(('Comparison Data'!$A$2:$A$37=$A2)*('Comparison Data'!$M$2:$M$37&lt;0)*('Comparison Data'!$N$2:$N$37&lt;0))</f>
        <v>11</v>
      </c>
      <c r="L2" s="10" t="n">
        <f aca="false">COUNTIFS('Comparison Data'!$A$2:$A$37,$A2,'Comparison Data'!$P$2:$P$37,"Food First")</f>
        <v>11</v>
      </c>
    </row>
    <row r="3" customFormat="false" ht="15" hidden="false" customHeight="false" outlineLevel="0" collapsed="false">
      <c r="A3" s="2" t="s">
        <v>41</v>
      </c>
      <c r="B3" s="10" t="n">
        <f aca="false">COUNTIF('Comparison Data'!$A$2:$A$37,$A3)</f>
        <v>18</v>
      </c>
      <c r="C3" s="10" t="n">
        <f aca="false">COUNTIFS('Comparison Data'!$A$2:$A$37,$A3,'Comparison Data'!$M$2:$M$37,"&lt;&gt;")</f>
        <v>18</v>
      </c>
      <c r="D3" s="4" t="n">
        <f aca="false">AVERAGEIFS('Comparison Data'!$M$2:$M$37,'Comparison Data'!$A$2:$A$37,$A3)</f>
        <v>-0.0427459118966208</v>
      </c>
      <c r="E3" s="4" t="n">
        <f aca="false" t="array" ref="E3:E3">MEDIAN(IF('Comparison Data'!$A$2:$A$37=$A3,'Comparison Data'!$M$2:$M$37))</f>
        <v>-0.013866185573337</v>
      </c>
      <c r="F3" s="4" t="n">
        <f aca="false">AVERAGEIFS('Comparison Data'!$N$2:$N$37,'Comparison Data'!$A$2:$A$37,$A3)</f>
        <v>-0.118371191495305</v>
      </c>
      <c r="G3" s="4" t="n">
        <f aca="false" t="array" ref="G3:G3">MEDIAN(IF('Comparison Data'!$A$2:$A$37=$A3,'Comparison Data'!$N$2:$N$37))</f>
        <v>-0.134964079194004</v>
      </c>
      <c r="H3" s="4" t="n">
        <f aca="false">AVERAGEIFS('Comparison Data'!$O$2:$O$37,'Comparison Data'!$A$2:$A$37,$A3)</f>
        <v>0.00348652699791874</v>
      </c>
      <c r="I3" s="10" t="n">
        <f aca="false">COUNTIFS('Comparison Data'!$A$2:$A$37,$A3,'Comparison Data'!$M$2:$M$37,"&lt;0")</f>
        <v>11</v>
      </c>
      <c r="J3" s="10" t="n">
        <f aca="false">COUNTIFS('Comparison Data'!$A$2:$A$37,$A3,'Comparison Data'!$N$2:$N$37,"&lt;0")</f>
        <v>13</v>
      </c>
      <c r="K3" s="10" t="n">
        <f aca="false">SUMPRODUCT(('Comparison Data'!$A$2:$A$37=$A3)*('Comparison Data'!$M$2:$M$37&lt;0)*('Comparison Data'!$N$2:$N$37&lt;0))</f>
        <v>11</v>
      </c>
      <c r="L3" s="10" t="n">
        <f aca="false">COUNTIFS('Comparison Data'!$A$2:$A$37,$A3,'Comparison Data'!$P$2:$P$37,"Food First")</f>
        <v>11</v>
      </c>
    </row>
    <row r="4" customFormat="false" ht="15" hidden="false" customHeight="false" outlineLevel="0" collapsed="false">
      <c r="A4" s="2" t="s">
        <v>64</v>
      </c>
      <c r="B4" s="10" t="n">
        <f aca="false">COUNTIF('Comparison Data'!$A$2:$A$37,$A4)</f>
        <v>6</v>
      </c>
      <c r="C4" s="10" t="n">
        <f aca="false">COUNTIFS('Comparison Data'!$A$2:$A$37,$A4,'Comparison Data'!$M$2:$M$37,"&lt;&gt;")</f>
        <v>6</v>
      </c>
      <c r="D4" s="4" t="n">
        <f aca="false">AVERAGEIFS('Comparison Data'!$M$2:$M$37,'Comparison Data'!$A$2:$A$37,$A4)</f>
        <v>-0.286685985798016</v>
      </c>
      <c r="E4" s="4" t="n">
        <f aca="false" t="array" ref="E4:E4">MEDIAN(IF('Comparison Data'!$A$2:$A$37=$A4,'Comparison Data'!$M$2:$M$37))</f>
        <v>-0.416963396721852</v>
      </c>
      <c r="F4" s="4" t="n">
        <f aca="false">AVERAGEIFS('Comparison Data'!$N$2:$N$37,'Comparison Data'!$A$2:$A$37,$A4)</f>
        <v>-0.369528557031117</v>
      </c>
      <c r="G4" s="4" t="n">
        <f aca="false" t="array" ref="G4:G4">MEDIAN(IF('Comparison Data'!$A$2:$A$37=$A4,'Comparison Data'!$N$2:$N$37))</f>
        <v>-0.464959326644256</v>
      </c>
      <c r="H4" s="4" t="n">
        <f aca="false">AVERAGEIFS('Comparison Data'!$O$2:$O$37,'Comparison Data'!$A$2:$A$37,$A4)</f>
        <v>-0.116313437040519</v>
      </c>
      <c r="I4" s="10" t="n">
        <f aca="false">COUNTIFS('Comparison Data'!$A$2:$A$37,$A4,'Comparison Data'!$M$2:$M$37,"&lt;0")</f>
        <v>5</v>
      </c>
      <c r="J4" s="10" t="n">
        <f aca="false">COUNTIFS('Comparison Data'!$A$2:$A$37,$A4,'Comparison Data'!$N$2:$N$37,"&lt;0")</f>
        <v>6</v>
      </c>
      <c r="K4" s="10" t="n">
        <f aca="false">SUMPRODUCT(('Comparison Data'!$A$2:$A$37=$A4)*('Comparison Data'!$M$2:$M$37&lt;0)*('Comparison Data'!$N$2:$N$37&lt;0))</f>
        <v>5</v>
      </c>
      <c r="L4" s="10" t="n">
        <f aca="false">COUNTIFS('Comparison Data'!$A$2:$A$37,$A4,'Comparison Data'!$P$2:$P$37,"Food First")</f>
        <v>5</v>
      </c>
    </row>
    <row r="5" customFormat="false" ht="15" hidden="false" customHeight="false" outlineLevel="0" collapsed="false">
      <c r="A5" s="12" t="s">
        <v>119</v>
      </c>
      <c r="B5" s="13" t="n">
        <f aca="false">COUNTA('Comparison Data'!$A$2:$A$37)</f>
        <v>36</v>
      </c>
      <c r="C5" s="13" t="n">
        <f aca="false">COUNT('Comparison Data'!$M$2:$M$37)</f>
        <v>36</v>
      </c>
      <c r="D5" s="14" t="n">
        <f aca="false">AVERAGE('Comparison Data'!$M$2:$M$37)</f>
        <v>-0.163965569570497</v>
      </c>
      <c r="E5" s="14" t="n">
        <f aca="false">MEDIAN('Comparison Data'!$M$2:$M$37)</f>
        <v>-0.244120454259434</v>
      </c>
      <c r="F5" s="14" t="n">
        <f aca="false">AVERAGE('Comparison Data'!$N$2:$N$37)</f>
        <v>-0.226883414722227</v>
      </c>
      <c r="G5" s="14" t="n">
        <f aca="false">MEDIAN('Comparison Data'!$N$2:$N$37)</f>
        <v>-0.234935061660808</v>
      </c>
      <c r="H5" s="14" t="n">
        <f aca="false">AVERAGE('Comparison Data'!$O$2:$O$37)</f>
        <v>-0.0331998767242775</v>
      </c>
      <c r="I5" s="13" t="n">
        <f aca="false">COUNTIF('Comparison Data'!$M$2:$M$37,"&lt;0")</f>
        <v>27</v>
      </c>
      <c r="J5" s="13" t="n">
        <f aca="false">COUNTIF('Comparison Data'!$N$2:$N$37,"&lt;0")</f>
        <v>30</v>
      </c>
      <c r="K5" s="13" t="n">
        <f aca="false">SUMPRODUCT(('Comparison Data'!$M$2:$M$37&lt;0)*('Comparison Data'!$N$2:$N$37&lt;0))</f>
        <v>27</v>
      </c>
      <c r="L5" s="13" t="n">
        <f aca="false">COUNTIF('Comparison Data'!$P$2:$P$37,"Food First")</f>
        <v>27</v>
      </c>
    </row>
    <row r="7" customFormat="false" ht="15" hidden="false" customHeight="false" outlineLevel="0" collapsed="false">
      <c r="A7" s="9" t="s">
        <v>120</v>
      </c>
    </row>
    <row r="8" customFormat="false" ht="15" hidden="false" customHeight="false" outlineLevel="0" collapsed="false">
      <c r="A8" s="9" t="s">
        <v>121</v>
      </c>
    </row>
    <row r="10" customFormat="false" ht="15" hidden="false" customHeight="false" outlineLevel="0" collapsed="false">
      <c r="A10" s="7" t="s">
        <v>122</v>
      </c>
    </row>
    <row r="11" customFormat="false" ht="35.05" hidden="false" customHeight="false" outlineLevel="0" collapsed="false">
      <c r="A11" s="1" t="s">
        <v>0</v>
      </c>
      <c r="B11" s="1" t="s">
        <v>123</v>
      </c>
      <c r="C11" s="1" t="s">
        <v>124</v>
      </c>
      <c r="D11" s="1" t="s">
        <v>125</v>
      </c>
    </row>
    <row r="12" customFormat="false" ht="15" hidden="false" customHeight="false" outlineLevel="0" collapsed="false">
      <c r="A12" s="2" t="str">
        <f aca="false">'Comparison Data'!A2</f>
        <v>Vegetables</v>
      </c>
      <c r="B12" s="2" t="str">
        <f aca="false">'Comparison Data'!B2</f>
        <v>Broccoli</v>
      </c>
      <c r="C12" s="15" t="n">
        <f aca="false">'Comparison Data'!M2</f>
        <v>-0.066044029352902</v>
      </c>
      <c r="D12" s="15" t="n">
        <f aca="false">'Comparison Data'!N2</f>
        <v>-0.124452782989368</v>
      </c>
    </row>
    <row r="13" customFormat="false" ht="15" hidden="false" customHeight="false" outlineLevel="0" collapsed="false">
      <c r="A13" s="2" t="str">
        <f aca="false">'Comparison Data'!A3</f>
        <v>Vegetables</v>
      </c>
      <c r="B13" s="2" t="str">
        <f aca="false">'Comparison Data'!B3</f>
        <v>Cauliflower</v>
      </c>
      <c r="C13" s="15" t="n">
        <f aca="false">'Comparison Data'!M3</f>
        <v>-0.23949299533022</v>
      </c>
      <c r="D13" s="15" t="n">
        <f aca="false">'Comparison Data'!N3</f>
        <v>-0.366314619232907</v>
      </c>
    </row>
    <row r="14" customFormat="false" ht="15" hidden="false" customHeight="false" outlineLevel="0" collapsed="false">
      <c r="A14" s="2" t="str">
        <f aca="false">'Comparison Data'!A4</f>
        <v>Vegetables</v>
      </c>
      <c r="B14" s="2" t="str">
        <f aca="false">'Comparison Data'!B4</f>
        <v>Romaine Lettuce</v>
      </c>
      <c r="C14" s="15" t="n">
        <f aca="false">'Comparison Data'!M4</f>
        <v>-0.374217772215269</v>
      </c>
      <c r="D14" s="15" t="n">
        <f aca="false">'Comparison Data'!N4</f>
        <v>-0.136442141623489</v>
      </c>
    </row>
    <row r="15" customFormat="false" ht="15" hidden="false" customHeight="false" outlineLevel="0" collapsed="false">
      <c r="A15" s="2" t="str">
        <f aca="false">'Comparison Data'!A5</f>
        <v>Vegetables</v>
      </c>
      <c r="B15" s="2" t="str">
        <f aca="false">'Comparison Data'!B5</f>
        <v>Iceberg Lettuce</v>
      </c>
      <c r="C15" s="15" t="n">
        <f aca="false">'Comparison Data'!M5</f>
        <v>-0.248747913188648</v>
      </c>
      <c r="D15" s="15" t="n">
        <f aca="false">'Comparison Data'!N5</f>
        <v>-0.356223175965665</v>
      </c>
    </row>
    <row r="16" customFormat="false" ht="15" hidden="false" customHeight="false" outlineLevel="0" collapsed="false">
      <c r="A16" s="2" t="str">
        <f aca="false">'Comparison Data'!A6</f>
        <v>Vegetables</v>
      </c>
      <c r="B16" s="2" t="str">
        <f aca="false">'Comparison Data'!B6</f>
        <v>Local Cabbage</v>
      </c>
      <c r="C16" s="15" t="n">
        <f aca="false">'Comparison Data'!M6</f>
        <v>-0.468892261001518</v>
      </c>
      <c r="D16" s="15" t="n">
        <f aca="false">'Comparison Data'!N6</f>
        <v>-0.556400506970849</v>
      </c>
    </row>
    <row r="17" customFormat="false" ht="15" hidden="false" customHeight="false" outlineLevel="0" collapsed="false">
      <c r="A17" s="2" t="str">
        <f aca="false">'Comparison Data'!A7</f>
        <v>Vegetables</v>
      </c>
      <c r="B17" s="2" t="str">
        <f aca="false">'Comparison Data'!B7</f>
        <v>Pumpkin</v>
      </c>
      <c r="C17" s="15" t="n">
        <f aca="false">'Comparison Data'!M7</f>
        <v>-0.431818181818182</v>
      </c>
      <c r="D17" s="15" t="n">
        <f aca="false">'Comparison Data'!N7</f>
        <v>-0.621928166351607</v>
      </c>
    </row>
    <row r="18" customFormat="false" ht="15" hidden="false" customHeight="false" outlineLevel="0" collapsed="false">
      <c r="A18" s="2" t="str">
        <f aca="false">'Comparison Data'!A8</f>
        <v>Vegetables</v>
      </c>
      <c r="B18" s="2" t="str">
        <f aca="false">'Comparison Data'!B8</f>
        <v>Red Cabbage</v>
      </c>
      <c r="C18" s="15" t="n">
        <f aca="false">'Comparison Data'!M8</f>
        <v>-0.499499499499499</v>
      </c>
      <c r="D18" s="15" t="n">
        <f aca="false">'Comparison Data'!N8</f>
        <v>-0.499499499499499</v>
      </c>
    </row>
    <row r="19" customFormat="false" ht="15" hidden="false" customHeight="false" outlineLevel="0" collapsed="false">
      <c r="A19" s="2" t="str">
        <f aca="false">'Comparison Data'!A9</f>
        <v>Vegetables</v>
      </c>
      <c r="B19" s="2" t="str">
        <f aca="false">'Comparison Data'!B9</f>
        <v>Red Onions</v>
      </c>
      <c r="C19" s="15" t="n">
        <f aca="false">'Comparison Data'!M9</f>
        <v>-0.436026936026936</v>
      </c>
      <c r="D19" s="15" t="n">
        <f aca="false">'Comparison Data'!N9</f>
        <v>-0.624649859943978</v>
      </c>
    </row>
    <row r="20" customFormat="false" ht="15" hidden="false" customHeight="false" outlineLevel="0" collapsed="false">
      <c r="A20" s="2" t="str">
        <f aca="false">'Comparison Data'!A10</f>
        <v>Vegetables</v>
      </c>
      <c r="B20" s="2" t="str">
        <f aca="false">'Comparison Data'!B10</f>
        <v>English Potatoes (Medium)</v>
      </c>
      <c r="C20" s="15" t="n">
        <f aca="false">'Comparison Data'!M10</f>
        <v>-0.111111111111111</v>
      </c>
      <c r="D20" s="15" t="n">
        <f aca="false">'Comparison Data'!N10</f>
        <v>-0.227799227799228</v>
      </c>
    </row>
    <row r="21" customFormat="false" ht="15" hidden="false" customHeight="false" outlineLevel="0" collapsed="false">
      <c r="A21" s="2" t="str">
        <f aca="false">'Comparison Data'!A11</f>
        <v>Vegetables</v>
      </c>
      <c r="B21" s="2" t="str">
        <f aca="false">'Comparison Data'!B11</f>
        <v>Cucumbers</v>
      </c>
      <c r="C21" s="15" t="n">
        <f aca="false">'Comparison Data'!M11</f>
        <v>0.537340619307832</v>
      </c>
      <c r="D21" s="15" t="n">
        <f aca="false">'Comparison Data'!N11</f>
        <v>0.595463137996219</v>
      </c>
    </row>
    <row r="22" customFormat="false" ht="15" hidden="false" customHeight="false" outlineLevel="0" collapsed="false">
      <c r="A22" s="2" t="str">
        <f aca="false">'Comparison Data'!A12</f>
        <v>Vegetables</v>
      </c>
      <c r="B22" s="2" t="str">
        <f aca="false">'Comparison Data'!B12</f>
        <v>Zucchini</v>
      </c>
      <c r="C22" s="15" t="n">
        <f aca="false">'Comparison Data'!M12</f>
        <v>-0.545040946314832</v>
      </c>
      <c r="D22" s="15" t="n">
        <f aca="false">'Comparison Data'!N12</f>
        <v>-0.659632402995235</v>
      </c>
    </row>
    <row r="23" customFormat="false" ht="15" hidden="false" customHeight="false" outlineLevel="0" collapsed="false">
      <c r="A23" s="2" t="str">
        <f aca="false">'Comparison Data'!A13</f>
        <v>Vegetables</v>
      </c>
      <c r="B23" s="2" t="str">
        <f aca="false">'Comparison Data'!B13</f>
        <v>Carrots</v>
      </c>
      <c r="C23" s="15" t="n">
        <f aca="false">'Comparison Data'!M13</f>
        <v>-0.529667149059334</v>
      </c>
      <c r="D23" s="15" t="n">
        <f aca="false">'Comparison Data'!N13</f>
        <v>-0.242070895522388</v>
      </c>
    </row>
    <row r="24" customFormat="false" ht="15" hidden="false" customHeight="false" outlineLevel="0" collapsed="false">
      <c r="A24" s="2" t="str">
        <f aca="false">'Comparison Data'!A14</f>
        <v>Fruits</v>
      </c>
      <c r="B24" s="2" t="str">
        <f aca="false">'Comparison Data'!B14</f>
        <v>Tomatoes</v>
      </c>
      <c r="C24" s="15" t="n">
        <f aca="false">'Comparison Data'!M14</f>
        <v>-0.105691056910569</v>
      </c>
      <c r="D24" s="15" t="n">
        <f aca="false">'Comparison Data'!N14</f>
        <v>-0.0460306871247498</v>
      </c>
    </row>
    <row r="25" customFormat="false" ht="15" hidden="false" customHeight="false" outlineLevel="0" collapsed="false">
      <c r="A25" s="2" t="str">
        <f aca="false">'Comparison Data'!A15</f>
        <v>Fruits</v>
      </c>
      <c r="B25" s="2" t="str">
        <f aca="false">'Comparison Data'!B15</f>
        <v>Red Apples</v>
      </c>
      <c r="C25" s="15" t="n">
        <f aca="false">'Comparison Data'!M15</f>
        <v>0.669449081803005</v>
      </c>
      <c r="D25" s="15" t="n">
        <f aca="false">'Comparison Data'!N15</f>
        <v>0.449275362318841</v>
      </c>
    </row>
    <row r="26" customFormat="false" ht="15" hidden="false" customHeight="false" outlineLevel="0" collapsed="false">
      <c r="A26" s="2" t="str">
        <f aca="false">'Comparison Data'!A16</f>
        <v>Fruits</v>
      </c>
      <c r="B26" s="2" t="str">
        <f aca="false">'Comparison Data'!B16</f>
        <v>Green Apples</v>
      </c>
      <c r="C26" s="15" t="n">
        <f aca="false">'Comparison Data'!M16</f>
        <v>-0.396984924623116</v>
      </c>
      <c r="D26" s="15" t="n">
        <f aca="false">'Comparison Data'!N16</f>
        <v>-0.194630872483222</v>
      </c>
    </row>
    <row r="27" customFormat="false" ht="15" hidden="false" customHeight="false" outlineLevel="0" collapsed="false">
      <c r="A27" s="2" t="str">
        <f aca="false">'Comparison Data'!A17</f>
        <v>Fruits</v>
      </c>
      <c r="B27" s="2" t="str">
        <f aca="false">'Comparison Data'!B17</f>
        <v>Oranges</v>
      </c>
      <c r="C27" s="15" t="n">
        <f aca="false">'Comparison Data'!M17</f>
        <v>-0.328859060402685</v>
      </c>
      <c r="D27" s="15" t="n">
        <f aca="false">'Comparison Data'!N17</f>
        <v>-0.371069182389937</v>
      </c>
    </row>
    <row r="28" customFormat="false" ht="15" hidden="false" customHeight="false" outlineLevel="0" collapsed="false">
      <c r="A28" s="2" t="str">
        <f aca="false">'Comparison Data'!A18</f>
        <v>Fruits</v>
      </c>
      <c r="B28" s="2" t="str">
        <f aca="false">'Comparison Data'!B18</f>
        <v>Red Seedless Grapes</v>
      </c>
      <c r="C28" s="15" t="n">
        <f aca="false">'Comparison Data'!M18</f>
        <v>-0.0170688640376692</v>
      </c>
      <c r="D28" s="15" t="n">
        <f aca="false">'Comparison Data'!N18</f>
        <v>-0.120589784096893</v>
      </c>
    </row>
    <row r="29" customFormat="false" ht="15" hidden="false" customHeight="false" outlineLevel="0" collapsed="false">
      <c r="A29" s="2" t="str">
        <f aca="false">'Comparison Data'!A19</f>
        <v>Fruits</v>
      </c>
      <c r="B29" s="2" t="str">
        <f aca="false">'Comparison Data'!B19</f>
        <v>Green Seedless Grapes</v>
      </c>
      <c r="C29" s="15" t="n">
        <f aca="false">'Comparison Data'!M19</f>
        <v>-0.0106635071090048</v>
      </c>
      <c r="D29" s="15" t="n">
        <f aca="false">'Comparison Data'!N19</f>
        <v>-0.188926663428849</v>
      </c>
    </row>
    <row r="30" customFormat="false" ht="15" hidden="false" customHeight="false" outlineLevel="0" collapsed="false">
      <c r="A30" s="2" t="str">
        <f aca="false">'Comparison Data'!A20</f>
        <v>Fruits</v>
      </c>
      <c r="B30" s="2" t="str">
        <f aca="false">'Comparison Data'!B20</f>
        <v>Strawberries</v>
      </c>
      <c r="C30" s="15" t="n">
        <f aca="false">'Comparison Data'!M20</f>
        <v>-0.00846805234795989</v>
      </c>
      <c r="D30" s="15" t="n">
        <f aca="false">'Comparison Data'!N20</f>
        <v>-0.303407247160627</v>
      </c>
    </row>
    <row r="31" customFormat="false" ht="15" hidden="false" customHeight="false" outlineLevel="0" collapsed="false">
      <c r="A31" s="2" t="str">
        <f aca="false">'Comparison Data'!A21</f>
        <v>Fruits</v>
      </c>
      <c r="B31" s="2" t="str">
        <f aca="false">'Comparison Data'!B21</f>
        <v>Dragonfruit</v>
      </c>
      <c r="C31" s="15" t="n">
        <f aca="false">'Comparison Data'!M21</f>
        <v>-0.0900818926296634</v>
      </c>
      <c r="D31" s="15" t="n">
        <f aca="false">'Comparison Data'!N21</f>
        <v>-0.374609130706692</v>
      </c>
    </row>
    <row r="32" customFormat="false" ht="15" hidden="false" customHeight="false" outlineLevel="0" collapsed="false">
      <c r="A32" s="2" t="str">
        <f aca="false">'Comparison Data'!A22</f>
        <v>Fruits</v>
      </c>
      <c r="B32" s="2" t="str">
        <f aca="false">'Comparison Data'!B22</f>
        <v>Pears</v>
      </c>
      <c r="C32" s="15" t="n">
        <f aca="false">'Comparison Data'!M22</f>
        <v>-0.698996655518395</v>
      </c>
      <c r="D32" s="15" t="n">
        <f aca="false">'Comparison Data'!N22</f>
        <v>-0.395973154362416</v>
      </c>
    </row>
    <row r="33" customFormat="false" ht="15" hidden="false" customHeight="false" outlineLevel="0" collapsed="false">
      <c r="A33" s="2" t="str">
        <f aca="false">'Comparison Data'!A23</f>
        <v>Fruits</v>
      </c>
      <c r="B33" s="2" t="str">
        <f aca="false">'Comparison Data'!B23</f>
        <v>Kiwis</v>
      </c>
      <c r="C33" s="15" t="n">
        <f aca="false">'Comparison Data'!M23</f>
        <v>0.177514792899408</v>
      </c>
      <c r="D33" s="15" t="n">
        <f aca="false">'Comparison Data'!N23</f>
        <v>0</v>
      </c>
    </row>
    <row r="34" customFormat="false" ht="15" hidden="false" customHeight="false" outlineLevel="0" collapsed="false">
      <c r="A34" s="2" t="str">
        <f aca="false">'Comparison Data'!A24</f>
        <v>Fruits</v>
      </c>
      <c r="B34" s="2" t="str">
        <f aca="false">'Comparison Data'!B24</f>
        <v>Jalapeno Peppers</v>
      </c>
      <c r="C34" s="15" t="n">
        <f aca="false">'Comparison Data'!M24</f>
        <v>-0.450354609929078</v>
      </c>
      <c r="D34" s="15" t="n">
        <f aca="false">'Comparison Data'!N24</f>
        <v>-0.584712044690343</v>
      </c>
    </row>
    <row r="35" customFormat="false" ht="15" hidden="false" customHeight="false" outlineLevel="0" collapsed="false">
      <c r="A35" s="2" t="str">
        <f aca="false">'Comparison Data'!A25</f>
        <v>Fruits</v>
      </c>
      <c r="B35" s="2" t="str">
        <f aca="false">'Comparison Data'!B25</f>
        <v>Sweet Pepper Green</v>
      </c>
      <c r="C35" s="15" t="n">
        <f aca="false">'Comparison Data'!M25</f>
        <v>0.0283490828237911</v>
      </c>
      <c r="D35" s="15" t="n">
        <f aca="false">'Comparison Data'!N25</f>
        <v>-0.0745372686343171</v>
      </c>
    </row>
    <row r="36" customFormat="false" ht="15" hidden="false" customHeight="false" outlineLevel="0" collapsed="false">
      <c r="A36" s="2" t="str">
        <f aca="false">'Comparison Data'!A26</f>
        <v>Fruits</v>
      </c>
      <c r="B36" s="2" t="str">
        <f aca="false">'Comparison Data'!B26</f>
        <v>Sweet Pepper Red</v>
      </c>
      <c r="C36" s="15" t="n">
        <f aca="false">'Comparison Data'!M26</f>
        <v>0.0839355197331853</v>
      </c>
      <c r="D36" s="15" t="n">
        <f aca="false">'Comparison Data'!N26</f>
        <v>-0.024512256128064</v>
      </c>
    </row>
    <row r="37" customFormat="false" ht="15" hidden="false" customHeight="false" outlineLevel="0" collapsed="false">
      <c r="A37" s="2" t="str">
        <f aca="false">'Comparison Data'!A27</f>
        <v>Fruits</v>
      </c>
      <c r="B37" s="2" t="str">
        <f aca="false">'Comparison Data'!B27</f>
        <v>Sweet Pepper Yellow</v>
      </c>
      <c r="C37" s="15" t="n">
        <f aca="false">'Comparison Data'!M27</f>
        <v>0.139521956642579</v>
      </c>
      <c r="D37" s="15" t="n">
        <f aca="false">'Comparison Data'!N27</f>
        <v>0.0255127563781892</v>
      </c>
    </row>
    <row r="38" customFormat="false" ht="15" hidden="false" customHeight="false" outlineLevel="0" collapsed="false">
      <c r="A38" s="2" t="str">
        <f aca="false">'Comparison Data'!A28</f>
        <v>Fruits</v>
      </c>
      <c r="B38" s="2" t="str">
        <f aca="false">'Comparison Data'!B28</f>
        <v>Grapefruit</v>
      </c>
      <c r="C38" s="15" t="n">
        <f aca="false">'Comparison Data'!M28</f>
        <v>0.103678929765886</v>
      </c>
      <c r="D38" s="15" t="n">
        <f aca="false">'Comparison Data'!N28</f>
        <v>0.00303951367781141</v>
      </c>
    </row>
    <row r="39" customFormat="false" ht="15" hidden="false" customHeight="false" outlineLevel="0" collapsed="false">
      <c r="A39" s="2" t="str">
        <f aca="false">'Comparison Data'!A29</f>
        <v>Fruits</v>
      </c>
      <c r="B39" s="2" t="str">
        <f aca="false">'Comparison Data'!B29</f>
        <v>Gala Apple</v>
      </c>
      <c r="C39" s="15" t="n">
        <f aca="false">'Comparison Data'!M29</f>
        <v>-0.748743718592965</v>
      </c>
      <c r="D39" s="15" t="n">
        <f aca="false">'Comparison Data'!N29</f>
        <v>-0.655172413793103</v>
      </c>
    </row>
    <row r="40" customFormat="false" ht="15" hidden="false" customHeight="false" outlineLevel="0" collapsed="false">
      <c r="A40" s="2" t="str">
        <f aca="false">'Comparison Data'!A30</f>
        <v>Fruits</v>
      </c>
      <c r="B40" s="2" t="str">
        <f aca="false">'Comparison Data'!B30</f>
        <v>Mangoes</v>
      </c>
      <c r="C40" s="15" t="n">
        <f aca="false">'Comparison Data'!M30</f>
        <v>1.24025974025974</v>
      </c>
      <c r="D40" s="15" t="n">
        <f aca="false">'Comparison Data'!N30</f>
        <v>0.875</v>
      </c>
    </row>
    <row r="41" customFormat="false" ht="15" hidden="false" customHeight="false" outlineLevel="0" collapsed="false">
      <c r="A41" s="2" t="str">
        <f aca="false">'Comparison Data'!A31</f>
        <v>Fruits</v>
      </c>
      <c r="B41" s="2" t="str">
        <f aca="false">'Comparison Data'!B31</f>
        <v>Watermelon</v>
      </c>
      <c r="C41" s="15" t="n">
        <f aca="false">'Comparison Data'!M31</f>
        <v>-0.356223175965665</v>
      </c>
      <c r="D41" s="15" t="n">
        <f aca="false">'Comparison Data'!N31</f>
        <v>-0.149338374291115</v>
      </c>
    </row>
    <row r="42" customFormat="false" ht="15" hidden="false" customHeight="false" outlineLevel="0" collapsed="false">
      <c r="A42" s="2" t="str">
        <f aca="false">'Comparison Data'!A32</f>
        <v>Grocery</v>
      </c>
      <c r="B42" s="2" t="str">
        <f aca="false">'Comparison Data'!B32</f>
        <v>Cooking Cream</v>
      </c>
      <c r="C42" s="15" t="n">
        <f aca="false">'Comparison Data'!M32</f>
        <v>-0.422854944209311</v>
      </c>
      <c r="D42" s="15" t="n">
        <f aca="false">'Comparison Data'!N32</f>
        <v>-0.510603588907015</v>
      </c>
    </row>
    <row r="43" customFormat="false" ht="15" hidden="false" customHeight="false" outlineLevel="0" collapsed="false">
      <c r="A43" s="2" t="str">
        <f aca="false">'Comparison Data'!A33</f>
        <v>Grocery</v>
      </c>
      <c r="B43" s="2" t="str">
        <f aca="false">'Comparison Data'!B33</f>
        <v>Whipping Cream</v>
      </c>
      <c r="C43" s="15" t="n">
        <f aca="false">'Comparison Data'!M33</f>
        <v>-0.422854944209311</v>
      </c>
      <c r="D43" s="15" t="n">
        <f aca="false">'Comparison Data'!N33</f>
        <v>-0.523052464228935</v>
      </c>
    </row>
    <row r="44" customFormat="false" ht="15" hidden="false" customHeight="false" outlineLevel="0" collapsed="false">
      <c r="A44" s="2" t="str">
        <f aca="false">'Comparison Data'!A34</f>
        <v>Grocery</v>
      </c>
      <c r="B44" s="2" t="str">
        <f aca="false">'Comparison Data'!B34</f>
        <v>Oat Milk</v>
      </c>
      <c r="C44" s="15" t="n">
        <f aca="false">'Comparison Data'!M34</f>
        <v>0.00591715976331364</v>
      </c>
      <c r="D44" s="15" t="n">
        <f aca="false">'Comparison Data'!N34</f>
        <v>-0.226569608735214</v>
      </c>
    </row>
    <row r="45" customFormat="false" ht="15" hidden="false" customHeight="false" outlineLevel="0" collapsed="false">
      <c r="A45" s="2" t="str">
        <f aca="false">'Comparison Data'!A35</f>
        <v>Grocery</v>
      </c>
      <c r="B45" s="2" t="str">
        <f aca="false">'Comparison Data'!B35</f>
        <v>Whole Milk</v>
      </c>
      <c r="C45" s="15" t="n">
        <f aca="false">'Comparison Data'!M35</f>
        <v>-0.411071849234393</v>
      </c>
      <c r="D45" s="15" t="n">
        <f aca="false">'Comparison Data'!N35</f>
        <v>-0.431171786120592</v>
      </c>
    </row>
    <row r="46" customFormat="false" ht="15" hidden="false" customHeight="false" outlineLevel="0" collapsed="false">
      <c r="A46" s="2" t="str">
        <f aca="false">'Comparison Data'!A36</f>
        <v>Grocery</v>
      </c>
      <c r="B46" s="2" t="str">
        <f aca="false">'Comparison Data'!B36</f>
        <v>Eggs</v>
      </c>
      <c r="C46" s="15" t="n">
        <f aca="false">'Comparison Data'!M36</f>
        <v>-0.0374331550802138</v>
      </c>
      <c r="D46" s="15" t="n">
        <f aca="false">'Comparison Data'!N36</f>
        <v>-0.027027027027027</v>
      </c>
    </row>
    <row r="47" customFormat="false" ht="15" hidden="false" customHeight="false" outlineLevel="0" collapsed="false">
      <c r="A47" s="2" t="str">
        <f aca="false">'Comparison Data'!A37</f>
        <v>Grocery</v>
      </c>
      <c r="B47" s="2" t="str">
        <f aca="false">'Comparison Data'!B37</f>
        <v>Local Onions</v>
      </c>
      <c r="C47" s="15" t="n">
        <f aca="false">'Comparison Data'!M37</f>
        <v>-0.431818181818182</v>
      </c>
      <c r="D47" s="15" t="n">
        <f aca="false">'Comparison Data'!N37</f>
        <v>-0.49874686716792</v>
      </c>
    </row>
  </sheetData>
  <conditionalFormatting sqref="D2:H5">
    <cfRule type="cellIs" priority="2" operator="lessThan" aboveAverage="0" equalAverage="0" bottom="0" percent="0" rank="0" text="" dxfId="7">
      <formula>0</formula>
    </cfRule>
    <cfRule type="cellIs" priority="3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tru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7.35" hidden="false" customHeight="false" outlineLevel="0" collapsed="false">
      <c r="A1" s="16" t="s">
        <v>126</v>
      </c>
    </row>
    <row r="2" customFormat="false" ht="15" hidden="false" customHeight="false" outlineLevel="0" collapsed="false">
      <c r="A2" s="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2026-10-01T14:36:46Z</dcterms:created>
  <dc:creator>openpyxl</dc:creator>
  <dc:description/>
  <dc:language>en-US</dc:language>
  <cp:lastModifiedBy/>
  <dcterms:modified xsi:type="dcterms:W3CDTF">2026-10-01T14:36:54Z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